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bookViews>
    <workbookView xWindow="-120" yWindow="-120" windowWidth="23250" windowHeight="13140" tabRatio="698" activeTab="3"/>
  </bookViews>
  <sheets>
    <sheet name="Metadata" sheetId="14" r:id="rId1"/>
    <sheet name="Read me" sheetId="2" r:id="rId2"/>
    <sheet name="Appendix A - Black list" sheetId="15" r:id="rId3"/>
    <sheet name="Appendix B - Alert list" sheetId="16" r:id="rId4"/>
  </sheets>
  <definedNames>
    <definedName name="_xlnm._FilterDatabase" localSheetId="2" hidden="1">'Appendix A - Black list'!$A$1:$R$128</definedName>
  </definedNames>
  <calcPr calcId="145621"/>
</workbook>
</file>

<file path=xl/calcChain.xml><?xml version="1.0" encoding="utf-8"?>
<calcChain xmlns="http://schemas.openxmlformats.org/spreadsheetml/2006/main">
  <c r="O91" i="16" l="1"/>
  <c r="P128" i="15"/>
  <c r="Q128" i="15"/>
  <c r="R128" i="15"/>
  <c r="O128" i="15"/>
</calcChain>
</file>

<file path=xl/sharedStrings.xml><?xml version="1.0" encoding="utf-8"?>
<sst xmlns="http://schemas.openxmlformats.org/spreadsheetml/2006/main" count="2153" uniqueCount="677">
  <si>
    <t>Mammalia</t>
  </si>
  <si>
    <t>Amphibia</t>
  </si>
  <si>
    <t>Reptilia</t>
  </si>
  <si>
    <t>Taxonomic Group</t>
  </si>
  <si>
    <t>EU_List</t>
  </si>
  <si>
    <t>Sp_List</t>
  </si>
  <si>
    <t>Po_List</t>
  </si>
  <si>
    <t>Sp_List1</t>
  </si>
  <si>
    <t>https://www.miteco.gob.es/es/biodiversidad/temas/conservacion-de-especies/especies-exoticas-invasoras/ce-eei-catalogo.aspx</t>
  </si>
  <si>
    <t xml:space="preserve">Xenopus laevis </t>
  </si>
  <si>
    <t xml:space="preserve">Branta canadensis </t>
  </si>
  <si>
    <t xml:space="preserve">Oxyura jamaicensis </t>
  </si>
  <si>
    <t xml:space="preserve">Chelydra serpentina </t>
  </si>
  <si>
    <t xml:space="preserve">Chrysemys picta </t>
  </si>
  <si>
    <t xml:space="preserve">Leuciscus idus </t>
  </si>
  <si>
    <t>Acipenser baerii</t>
  </si>
  <si>
    <t>Scientific name</t>
  </si>
  <si>
    <t>scientific name</t>
  </si>
  <si>
    <t>Pelodiscus sinensis</t>
  </si>
  <si>
    <t>https://ec.europa.eu/environment/nature/invasivealien/list/index_en.htm</t>
  </si>
  <si>
    <t>Ficopomatus enigmaticus</t>
  </si>
  <si>
    <t>Hydroides elegans</t>
  </si>
  <si>
    <t>Amathia verticillata</t>
  </si>
  <si>
    <t>Bugula neritina</t>
  </si>
  <si>
    <t>Pectinatella magnifica</t>
  </si>
  <si>
    <t>Tricellaria inopinata</t>
  </si>
  <si>
    <t>Victorella pavida</t>
  </si>
  <si>
    <t>Blackfordia virginica</t>
  </si>
  <si>
    <t>Cordylophora caspia</t>
  </si>
  <si>
    <t>Acartia (Acanthacartia) tonsa</t>
  </si>
  <si>
    <t>Amphibalanus amphitrite</t>
  </si>
  <si>
    <t>Amphibalanus improvisus</t>
  </si>
  <si>
    <t xml:space="preserve">Argulus japonicus </t>
  </si>
  <si>
    <t>Artemia franciscana</t>
  </si>
  <si>
    <t xml:space="preserve">Austrominius modestus </t>
  </si>
  <si>
    <t>Balanus trigonus</t>
  </si>
  <si>
    <t>Callinectes sapidus</t>
  </si>
  <si>
    <t>Cherax destructor</t>
  </si>
  <si>
    <t>Cherax quadricarinatus</t>
  </si>
  <si>
    <t>Eriocheir sinensis</t>
  </si>
  <si>
    <t>Faxonius limosus</t>
  </si>
  <si>
    <t>Lernaea cyprinacea</t>
  </si>
  <si>
    <t>Pacifastacus leniusculus</t>
  </si>
  <si>
    <t>Penaeus japonicus</t>
  </si>
  <si>
    <t>Procambarus clarkii</t>
  </si>
  <si>
    <t>Rhithropanopeus harrisii</t>
  </si>
  <si>
    <t>Palaemon macrodactylus</t>
  </si>
  <si>
    <t>Mnemiopsis leidyi</t>
  </si>
  <si>
    <t>Aedes albopictus</t>
  </si>
  <si>
    <t>Aedes japonicus</t>
  </si>
  <si>
    <t xml:space="preserve">Stenopelmus rufinasus </t>
  </si>
  <si>
    <t xml:space="preserve">Trichocorixa verticalis </t>
  </si>
  <si>
    <t>Anadara kagoshimensis</t>
  </si>
  <si>
    <t>Anadara transversa</t>
  </si>
  <si>
    <t>Arcuatula senhousia</t>
  </si>
  <si>
    <t>Bursatella leachii</t>
  </si>
  <si>
    <t>Corbicula fluminea</t>
  </si>
  <si>
    <t>Crepidula fornicata</t>
  </si>
  <si>
    <t>Dreissena polymorpha</t>
  </si>
  <si>
    <t>Ensis leei</t>
  </si>
  <si>
    <t>Haloa japonica</t>
  </si>
  <si>
    <t>Magallana angulata</t>
  </si>
  <si>
    <t>Magallana gigas</t>
  </si>
  <si>
    <t>Marisa cornuarietis</t>
  </si>
  <si>
    <t>Melanoides tuberculata</t>
  </si>
  <si>
    <t>Mya arenaria</t>
  </si>
  <si>
    <t>Mytilopsis leucophaeata</t>
  </si>
  <si>
    <t>Physella acuta</t>
  </si>
  <si>
    <t>Pomacea maculata</t>
  </si>
  <si>
    <t xml:space="preserve">Potamopyrgus antipodarum </t>
  </si>
  <si>
    <t>Ruditapes philippinarum</t>
  </si>
  <si>
    <t>Sinanodonta woodiana</t>
  </si>
  <si>
    <t>Anguillicoloides crassus</t>
  </si>
  <si>
    <t>Gyrodactylus salaris</t>
  </si>
  <si>
    <t>Botrylloides violaceus</t>
  </si>
  <si>
    <t>Corella eumyota</t>
  </si>
  <si>
    <t>Didemnum vexillum</t>
  </si>
  <si>
    <t>Microcosmus squamiger</t>
  </si>
  <si>
    <t>Styela clava</t>
  </si>
  <si>
    <t>Annelida</t>
  </si>
  <si>
    <t>Bryozoa</t>
  </si>
  <si>
    <t>Cnidaria</t>
  </si>
  <si>
    <t>Malacostraca</t>
  </si>
  <si>
    <t>Ctenophora</t>
  </si>
  <si>
    <t>Insecta</t>
  </si>
  <si>
    <t>Mollusca</t>
  </si>
  <si>
    <t>Bivalvia</t>
  </si>
  <si>
    <t>Gastropoda</t>
  </si>
  <si>
    <t>Nematoda</t>
  </si>
  <si>
    <t>Platyhelminthes</t>
  </si>
  <si>
    <t>Monogenea</t>
  </si>
  <si>
    <t>Cipangopaludina chinensis</t>
  </si>
  <si>
    <t>Brachidontes pharaonis</t>
  </si>
  <si>
    <t>Branchipoda</t>
  </si>
  <si>
    <t>Theocostraca</t>
  </si>
  <si>
    <t>Ichthyostraca</t>
  </si>
  <si>
    <t>Class</t>
  </si>
  <si>
    <t>Bacopa monnieri</t>
  </si>
  <si>
    <t>Egeria densa</t>
  </si>
  <si>
    <t>Eichhornia crassipes</t>
  </si>
  <si>
    <t>Elodea canadensis</t>
  </si>
  <si>
    <t xml:space="preserve">Hydrocotyle bonariensis </t>
  </si>
  <si>
    <t>Hydrocotyle verticillata</t>
  </si>
  <si>
    <t>Lagarosiphon major</t>
  </si>
  <si>
    <t>Ludwigia grandiflora</t>
  </si>
  <si>
    <t>Ludwigia repens</t>
  </si>
  <si>
    <t>Myriophyllum aquaticum</t>
  </si>
  <si>
    <t>Myriophyllum heterophyllum</t>
  </si>
  <si>
    <t>Nymphaea mexicana</t>
  </si>
  <si>
    <t>Pistia stratiotes</t>
  </si>
  <si>
    <t>Rotala indica</t>
  </si>
  <si>
    <t>Salvinia natans</t>
  </si>
  <si>
    <t>Spartina alterniflora</t>
  </si>
  <si>
    <t>Spartina densiflora</t>
  </si>
  <si>
    <t>Alternanthera philoxeroides</t>
  </si>
  <si>
    <t>Crassula aquatica</t>
  </si>
  <si>
    <t>Hydrocotyle ranunculoides</t>
  </si>
  <si>
    <t>Salvinia molesta</t>
  </si>
  <si>
    <t>Pteridophyta</t>
  </si>
  <si>
    <t>Craspedacusta sowerbii</t>
  </si>
  <si>
    <t xml:space="preserve">Trachemys scripta </t>
  </si>
  <si>
    <t>Alburnus alburnus</t>
  </si>
  <si>
    <t xml:space="preserve">Ameiurus melas </t>
  </si>
  <si>
    <t>Carassius auratus</t>
  </si>
  <si>
    <t>Carassius gibelio</t>
  </si>
  <si>
    <t>Cyprinus carpio</t>
  </si>
  <si>
    <t>Esox lucius</t>
  </si>
  <si>
    <t>Fundulus heteroclitus</t>
  </si>
  <si>
    <t>Gambusia holbrooki</t>
  </si>
  <si>
    <t>Ictalurus punctatus</t>
  </si>
  <si>
    <t xml:space="preserve">Lepomis gibbosus </t>
  </si>
  <si>
    <t>Micropterus salmoides</t>
  </si>
  <si>
    <t>Misgurnus anguillicaudatus</t>
  </si>
  <si>
    <t>Oncorhynchus mykiss</t>
  </si>
  <si>
    <t>Perca fluviatilis</t>
  </si>
  <si>
    <t xml:space="preserve">Pseudorasbora parva </t>
  </si>
  <si>
    <t>Rutilus rutilus</t>
  </si>
  <si>
    <t>Salvelinus fontinalis</t>
  </si>
  <si>
    <t>Sander lucioperca</t>
  </si>
  <si>
    <t>Scardinius erythrophthalmus</t>
  </si>
  <si>
    <t>Silurus glanis</t>
  </si>
  <si>
    <t>Myocastor coypus</t>
  </si>
  <si>
    <t>Neovison vison</t>
  </si>
  <si>
    <t>Ondatra zibethicus</t>
  </si>
  <si>
    <t>Procyon lotor</t>
  </si>
  <si>
    <t>Alopochen aegyptiaca</t>
  </si>
  <si>
    <t>Mauremys mutica</t>
  </si>
  <si>
    <t xml:space="preserve">Pseudemys concinna </t>
  </si>
  <si>
    <t>Lithobates catesbeianus</t>
  </si>
  <si>
    <t>Cryptogenic</t>
  </si>
  <si>
    <t>PLANTS</t>
  </si>
  <si>
    <t>Native Range</t>
  </si>
  <si>
    <t>Native range</t>
  </si>
  <si>
    <t>Eur</t>
  </si>
  <si>
    <t>Europe</t>
  </si>
  <si>
    <t>Afr</t>
  </si>
  <si>
    <t>Africa</t>
  </si>
  <si>
    <t>As</t>
  </si>
  <si>
    <t>Asia-temperate</t>
  </si>
  <si>
    <t>At</t>
  </si>
  <si>
    <t>Asia-tropical</t>
  </si>
  <si>
    <t>Aus</t>
  </si>
  <si>
    <t>Australasia</t>
  </si>
  <si>
    <t>Pac</t>
  </si>
  <si>
    <t>Pacific</t>
  </si>
  <si>
    <t>NAm</t>
  </si>
  <si>
    <t>N America</t>
  </si>
  <si>
    <t>SAm</t>
  </si>
  <si>
    <t>S America</t>
  </si>
  <si>
    <t>Ant</t>
  </si>
  <si>
    <t>Antarctica</t>
  </si>
  <si>
    <t>NAm, SAm</t>
  </si>
  <si>
    <t>At, NAm, SAm, Afr, As</t>
  </si>
  <si>
    <t>Pac, Aus</t>
  </si>
  <si>
    <t>As, At</t>
  </si>
  <si>
    <t>Aus, At</t>
  </si>
  <si>
    <t>As, At, Pac</t>
  </si>
  <si>
    <t>Eur, As</t>
  </si>
  <si>
    <t>As, Eur</t>
  </si>
  <si>
    <t>Afr, As</t>
  </si>
  <si>
    <t>NAm, As, At, Pac, Aus</t>
  </si>
  <si>
    <t>NAm, At, Pac</t>
  </si>
  <si>
    <t>As, Pac</t>
  </si>
  <si>
    <t>At, Afr, Pac</t>
  </si>
  <si>
    <t>Pac, At</t>
  </si>
  <si>
    <t>Afr, SAm, Aus, Pac</t>
  </si>
  <si>
    <t>Eur, At</t>
  </si>
  <si>
    <t>As, Aus, Pac</t>
  </si>
  <si>
    <t>As, Pac, Eur</t>
  </si>
  <si>
    <t>Pac, As</t>
  </si>
  <si>
    <t>NAm, Pac, As</t>
  </si>
  <si>
    <t>At, Pac, As</t>
  </si>
  <si>
    <t>At, Aus, Pac</t>
  </si>
  <si>
    <t>NAm, Pac</t>
  </si>
  <si>
    <t>As, NAm, Pac</t>
  </si>
  <si>
    <t>Afr, As, Pac, Aus, NAm, SAm, At</t>
  </si>
  <si>
    <t>SAm, Pac</t>
  </si>
  <si>
    <t>SAm, NAm</t>
  </si>
  <si>
    <t>Eur, As, NAm</t>
  </si>
  <si>
    <t>NAm, SAm, Afr</t>
  </si>
  <si>
    <t>Afr, At, SAm</t>
  </si>
  <si>
    <t>At, Eur, NAm</t>
  </si>
  <si>
    <t>well-established synonym, where appropriate (only with common use)</t>
  </si>
  <si>
    <t>https://www.miteco.gob.es/es/biodiversidad/temas/conservacion-de-especies/listadoaloctonas_tcm30-510420.xlsx</t>
  </si>
  <si>
    <t>Real Decreto 570/2020, de 16 de junio, por el que se regula el procedimiento administrativo para la autorización previa de importación en el territorio nacional de especies alóctonas con el fin de preservar la biodiversidad autóctona española.</t>
  </si>
  <si>
    <t>Real Decreto 630/2013, de 2 de agosto, por el que se regula el Catálogo Español de Especies Exóticas Invasoras se definieron los taxones integrantes de dicho Catálog</t>
  </si>
  <si>
    <r>
      <rPr>
        <b/>
        <sz val="11"/>
        <color theme="1"/>
        <rFont val="Calibri"/>
        <family val="2"/>
        <scheme val="minor"/>
      </rPr>
      <t>Spanish IAS Catalog.</t>
    </r>
    <r>
      <rPr>
        <sz val="11"/>
        <color theme="1"/>
        <rFont val="Calibri"/>
        <family val="2"/>
        <scheme val="minor"/>
      </rPr>
      <t xml:space="preserve"> Catálogo Español de Especies Exóticas Invasoras (Spain) (RD 630/2013)</t>
    </r>
  </si>
  <si>
    <r>
      <rPr>
        <b/>
        <sz val="11"/>
        <color theme="1"/>
        <rFont val="Calibri"/>
        <family val="2"/>
        <scheme val="minor"/>
      </rPr>
      <t>Spanish Allochtonous List.</t>
    </r>
    <r>
      <rPr>
        <sz val="11"/>
        <color theme="1"/>
        <rFont val="Calibri"/>
        <family val="2"/>
        <scheme val="minor"/>
      </rPr>
      <t xml:space="preserve"> Listado de especies alóctonas susceptibles de competir con las especies silvestres autóctonas, alterar su pureza genética o los equilibrios ecológicos (Spain) (RD 570/2020)</t>
    </r>
  </si>
  <si>
    <t>Uncertain</t>
  </si>
  <si>
    <t>Established</t>
  </si>
  <si>
    <t>Synonyms</t>
  </si>
  <si>
    <t>https://dre.pt/application/conteudo/123025739</t>
  </si>
  <si>
    <t>Decreto-Lei n.º 92/2019 de 10 de julho. Diário da República, 1.ª série — N.º 130 — 10 de julho de 20193428-3442.</t>
  </si>
  <si>
    <t>Watersipora cfr. subtorquata</t>
  </si>
  <si>
    <t xml:space="preserve">Azolla filiculoides </t>
  </si>
  <si>
    <t>Ocinebrellus inornatus</t>
  </si>
  <si>
    <t>Polychaeta</t>
  </si>
  <si>
    <t>Salviniaceae</t>
  </si>
  <si>
    <t>Family</t>
  </si>
  <si>
    <t xml:space="preserve">Gymnolaemata </t>
  </si>
  <si>
    <t>Order</t>
  </si>
  <si>
    <t>Amphipoda</t>
  </si>
  <si>
    <t>Arthropoda</t>
  </si>
  <si>
    <t xml:space="preserve">Chromadorea </t>
  </si>
  <si>
    <t>Rhabditida</t>
  </si>
  <si>
    <t>Chordata</t>
  </si>
  <si>
    <t>Ascidiacea</t>
  </si>
  <si>
    <t>Stolidobranchia</t>
  </si>
  <si>
    <t>Listed in normative</t>
  </si>
  <si>
    <t>Carnivora</t>
  </si>
  <si>
    <t>Mustelidae</t>
  </si>
  <si>
    <t>Actinopterygii</t>
  </si>
  <si>
    <t>Cypriniformes</t>
  </si>
  <si>
    <t>Cyprinidae</t>
  </si>
  <si>
    <t>Aves</t>
  </si>
  <si>
    <t>Anseriformes</t>
  </si>
  <si>
    <t>Anatidae</t>
  </si>
  <si>
    <t>Siluriformes</t>
  </si>
  <si>
    <t>Ictaluridae</t>
  </si>
  <si>
    <t>Perciformes</t>
  </si>
  <si>
    <t>Cichlidae</t>
  </si>
  <si>
    <t>Cobitidae</t>
  </si>
  <si>
    <t>Anura</t>
  </si>
  <si>
    <t>Esociformes</t>
  </si>
  <si>
    <t>Esocidae</t>
  </si>
  <si>
    <t>Cyprinodontiformes</t>
  </si>
  <si>
    <t>Fundulidae</t>
  </si>
  <si>
    <t>Poeciliidae</t>
  </si>
  <si>
    <t>Centrarchidae</t>
  </si>
  <si>
    <t>Rodentia</t>
  </si>
  <si>
    <t>Myocastoridae</t>
  </si>
  <si>
    <t>Salmoniformes</t>
  </si>
  <si>
    <t>Salmonidae</t>
  </si>
  <si>
    <t>Cricetidae</t>
  </si>
  <si>
    <t>Ranidae</t>
  </si>
  <si>
    <t>Percidae</t>
  </si>
  <si>
    <t>Procyonidae</t>
  </si>
  <si>
    <t>Siluridae</t>
  </si>
  <si>
    <t>Testudines</t>
  </si>
  <si>
    <t>Emydidae</t>
  </si>
  <si>
    <t>Pipidae</t>
  </si>
  <si>
    <t>Acipenseriformes</t>
  </si>
  <si>
    <t>Acipenseridae</t>
  </si>
  <si>
    <t>Trionychidae</t>
  </si>
  <si>
    <t>Chelydridae</t>
  </si>
  <si>
    <t>Geoemydidae</t>
  </si>
  <si>
    <t>Bufonidae</t>
  </si>
  <si>
    <t>Pelecaniformes</t>
  </si>
  <si>
    <t>Threskionithidae</t>
  </si>
  <si>
    <t>Calanoida</t>
  </si>
  <si>
    <t>Acartidae</t>
  </si>
  <si>
    <t>Diptera</t>
  </si>
  <si>
    <t>Culicidae</t>
  </si>
  <si>
    <t>Decapoda</t>
  </si>
  <si>
    <t>Ctenostomatida</t>
  </si>
  <si>
    <t>Vesicularioidea</t>
  </si>
  <si>
    <t>Sessilia</t>
  </si>
  <si>
    <t>Balanidae</t>
  </si>
  <si>
    <t>Arcida</t>
  </si>
  <si>
    <t>Arcidae</t>
  </si>
  <si>
    <t>Anguillicolidae</t>
  </si>
  <si>
    <t>Neogastropoda</t>
  </si>
  <si>
    <t>Mytilida</t>
  </si>
  <si>
    <t>Mytilidae</t>
  </si>
  <si>
    <t>Arguloida</t>
  </si>
  <si>
    <t>Arguilidae</t>
  </si>
  <si>
    <t>Anostraca</t>
  </si>
  <si>
    <t>Artemiidae</t>
  </si>
  <si>
    <t>Astacidae</t>
  </si>
  <si>
    <t>Austrobalanidae</t>
  </si>
  <si>
    <t>Unassigned</t>
  </si>
  <si>
    <t>Hydrozoa</t>
  </si>
  <si>
    <t>Leptothecata</t>
  </si>
  <si>
    <t>Blackfordiidae</t>
  </si>
  <si>
    <t>Spionida</t>
  </si>
  <si>
    <t>Spionidae</t>
  </si>
  <si>
    <t>Diplostraca</t>
  </si>
  <si>
    <t>Styelidae</t>
  </si>
  <si>
    <t>Sabellida</t>
  </si>
  <si>
    <t>Cheilostomatida</t>
  </si>
  <si>
    <t>Bugulidae</t>
  </si>
  <si>
    <t>Aplysiida</t>
  </si>
  <si>
    <t>Aplysiidae</t>
  </si>
  <si>
    <t>Portunidae</t>
  </si>
  <si>
    <t>Parastacidae</t>
  </si>
  <si>
    <t>Architaenioglossa</t>
  </si>
  <si>
    <t>Viviparidae</t>
  </si>
  <si>
    <t>Venerida</t>
  </si>
  <si>
    <t>Cyrenidae</t>
  </si>
  <si>
    <t>Anthoathecata</t>
  </si>
  <si>
    <t>Cordylophoridae</t>
  </si>
  <si>
    <t>Phlebobranchia</t>
  </si>
  <si>
    <t>Corellidae</t>
  </si>
  <si>
    <t>Limnomedusae</t>
  </si>
  <si>
    <t>Olindiidae</t>
  </si>
  <si>
    <t>Littorinimorpha</t>
  </si>
  <si>
    <t>Calyptraeidae</t>
  </si>
  <si>
    <t>Aplousobranchia</t>
  </si>
  <si>
    <t>Didemnidae</t>
  </si>
  <si>
    <t>Myida</t>
  </si>
  <si>
    <t>Dreissenidae</t>
  </si>
  <si>
    <t>Panopeidae</t>
  </si>
  <si>
    <t>Adapedonta</t>
  </si>
  <si>
    <t>Pharidae</t>
  </si>
  <si>
    <t>Varunidae</t>
  </si>
  <si>
    <t>Cambaridae</t>
  </si>
  <si>
    <t>Planorbidae</t>
  </si>
  <si>
    <t>Serpulidae</t>
  </si>
  <si>
    <t>Veneridae</t>
  </si>
  <si>
    <t>Gyrodactylidea</t>
  </si>
  <si>
    <t>Gyrodactylidae</t>
  </si>
  <si>
    <t>Cephalaspidea</t>
  </si>
  <si>
    <t>Haminoeidae</t>
  </si>
  <si>
    <t>Unionida</t>
  </si>
  <si>
    <t>Unionidae</t>
  </si>
  <si>
    <t>Cyclopoida</t>
  </si>
  <si>
    <t>Lernaeidae</t>
  </si>
  <si>
    <t>Ostreida</t>
  </si>
  <si>
    <t>Otreidae</t>
  </si>
  <si>
    <t>Ampullariidae</t>
  </si>
  <si>
    <t>Thiaridae</t>
  </si>
  <si>
    <t>Pyuridae</t>
  </si>
  <si>
    <t>Tentaculata</t>
  </si>
  <si>
    <t>Lobata</t>
  </si>
  <si>
    <t>Bolinopsidae</t>
  </si>
  <si>
    <t>Myidae</t>
  </si>
  <si>
    <t>Muricidae</t>
  </si>
  <si>
    <t>Phylactolaemata</t>
  </si>
  <si>
    <t>Plumatellida</t>
  </si>
  <si>
    <t>Pectinatellidae</t>
  </si>
  <si>
    <t>Penaeidae</t>
  </si>
  <si>
    <t>Physidae</t>
  </si>
  <si>
    <t>Tateidae</t>
  </si>
  <si>
    <t>Coleoptera</t>
  </si>
  <si>
    <t>Brachyceridae</t>
  </si>
  <si>
    <t>Candidae</t>
  </si>
  <si>
    <t>Hemiptera</t>
  </si>
  <si>
    <t>Corixidae</t>
  </si>
  <si>
    <t>Victorellidae</t>
  </si>
  <si>
    <t>Watersiporidae</t>
  </si>
  <si>
    <t>Polypodiopsida</t>
  </si>
  <si>
    <t>Magnoliopsida</t>
  </si>
  <si>
    <t>Lamiales</t>
  </si>
  <si>
    <t>Plantaginaceae</t>
  </si>
  <si>
    <t>Liliopsida</t>
  </si>
  <si>
    <t>Alismatales</t>
  </si>
  <si>
    <t>Hydrocharitaceae</t>
  </si>
  <si>
    <t>Commelinales</t>
  </si>
  <si>
    <t>Pontederiaceae</t>
  </si>
  <si>
    <t>Apiaceae</t>
  </si>
  <si>
    <t>Araceae</t>
  </si>
  <si>
    <t>Myrtales</t>
  </si>
  <si>
    <t>Onagraceae</t>
  </si>
  <si>
    <t>Saxifragales</t>
  </si>
  <si>
    <t>Nymphaeales</t>
  </si>
  <si>
    <t>Nymphaeaceae</t>
  </si>
  <si>
    <t>Poales</t>
  </si>
  <si>
    <t>Poaceae</t>
  </si>
  <si>
    <t>Caryophyllales</t>
  </si>
  <si>
    <t>Amaranthaceae</t>
  </si>
  <si>
    <t>Crassulaceae</t>
  </si>
  <si>
    <t>Lythraceae</t>
  </si>
  <si>
    <t>Potamogetonaceae</t>
  </si>
  <si>
    <t>Salviniales</t>
  </si>
  <si>
    <t xml:space="preserve">Basommatophora </t>
  </si>
  <si>
    <t xml:space="preserve">Neotaenioglossa </t>
  </si>
  <si>
    <t>Magnoliophyta</t>
  </si>
  <si>
    <t>Phylum</t>
  </si>
  <si>
    <r>
      <t>Styela</t>
    </r>
    <r>
      <rPr>
        <sz val="10"/>
        <rFont val="Calibri"/>
        <family val="2"/>
        <scheme val="minor"/>
      </rPr>
      <t xml:space="preserve"> </t>
    </r>
    <r>
      <rPr>
        <i/>
        <sz val="10"/>
        <rFont val="Calibri"/>
        <family val="2"/>
        <scheme val="minor"/>
      </rPr>
      <t>plicata</t>
    </r>
  </si>
  <si>
    <t>Status</t>
  </si>
  <si>
    <r>
      <t>Threskiornis aethiopicus</t>
    </r>
    <r>
      <rPr>
        <sz val="10"/>
        <rFont val="Calibri"/>
        <family val="2"/>
      </rPr>
      <t xml:space="preserve"> </t>
    </r>
  </si>
  <si>
    <t>Apiales</t>
  </si>
  <si>
    <t>Haloragaceae</t>
  </si>
  <si>
    <t>Hexanauplia</t>
  </si>
  <si>
    <t>Palaemonidae</t>
  </si>
  <si>
    <r>
      <t xml:space="preserve">Ludwigia peploides </t>
    </r>
    <r>
      <rPr>
        <sz val="10"/>
        <color theme="1"/>
        <rFont val="Calibri"/>
        <family val="2"/>
        <scheme val="minor"/>
      </rPr>
      <t>subsp.</t>
    </r>
    <r>
      <rPr>
        <i/>
        <sz val="10"/>
        <color theme="1"/>
        <rFont val="Calibri"/>
        <family val="2"/>
        <scheme val="minor"/>
      </rPr>
      <t xml:space="preserve"> montevidensis</t>
    </r>
  </si>
  <si>
    <t>Main Taxonomic category in the assessment (Phyllum, Class, Order, Family)</t>
  </si>
  <si>
    <t>Potential status (Invasion Stage) = Transport or Introduction) (absent from the Iberian peninsula) ; Uncertain status = taxa that have been recorded in the Iberian Peninsula but are not clearly established or naturalized, even if successful reproduction of some of these species may have been observed but population are not self-sustaining (Invasion Stage = Establishment) (restricted to initial location in the introduction) ; Established status = that clearly introduced in estuarine or inland waters they have already naturalized and established, i.e. “species with self-sustaining populations in the wild” (Invasion Stage = Spread)(Invasion stages sensu Blackburn et al. 2011; Kocovsky et al. 2018)</t>
  </si>
  <si>
    <t>Título/Title</t>
  </si>
  <si>
    <t>Identificador/Identifer</t>
  </si>
  <si>
    <t>Autor/Creator</t>
  </si>
  <si>
    <t>LIFE Invasaqua</t>
  </si>
  <si>
    <t>Fecha/Date</t>
  </si>
  <si>
    <t>Tema/Subject</t>
  </si>
  <si>
    <t>Estado/Status</t>
  </si>
  <si>
    <t>versión 1.0</t>
  </si>
  <si>
    <t>Editor/Publisher</t>
  </si>
  <si>
    <t>Descripción/Description</t>
  </si>
  <si>
    <t>SIBIC, Universidad de Murcia, Universidad de Navarra, Universidade de Santiago de Compostela, Universidad de Evora</t>
  </si>
  <si>
    <t>Fuente/Source</t>
  </si>
  <si>
    <t>LIFE Invasaqua LIFE17 GIE/ES/000515</t>
  </si>
  <si>
    <t>Difusión/Rights</t>
  </si>
  <si>
    <t>Pública</t>
  </si>
  <si>
    <t>Idioma/Language</t>
  </si>
  <si>
    <t>Documentos Relacionados/Relations</t>
  </si>
  <si>
    <t>Período de validez/Coverage</t>
  </si>
  <si>
    <t>Hasta nuevas actualizaciones</t>
  </si>
  <si>
    <t>Coordinación/Coordinator</t>
  </si>
  <si>
    <t>Socios responsables/Beneficiaries</t>
  </si>
  <si>
    <r>
      <t xml:space="preserve">SIBIC, Universidad de Murcia (Francisco J. Oliva-Paterna - </t>
    </r>
    <r>
      <rPr>
        <b/>
        <sz val="10"/>
        <color rgb="FF333399"/>
        <rFont val="Calibri"/>
        <family val="2"/>
      </rPr>
      <t>fjoliva@um.es</t>
    </r>
    <r>
      <rPr>
        <sz val="10"/>
        <rFont val="Calibri"/>
        <family val="2"/>
      </rPr>
      <t>)</t>
    </r>
  </si>
  <si>
    <t>Español; Inglés</t>
  </si>
  <si>
    <t>Informe Técnico 1/ Technical Report 1</t>
  </si>
  <si>
    <t>version 1.0</t>
  </si>
  <si>
    <r>
      <t xml:space="preserve">SIBIC, University of Murcia (Francisco J. Oliva-Paterna - </t>
    </r>
    <r>
      <rPr>
        <b/>
        <sz val="10"/>
        <color rgb="FF333399"/>
        <rFont val="Calibri"/>
        <family val="2"/>
      </rPr>
      <t>fjoliva@um.es</t>
    </r>
    <r>
      <rPr>
        <sz val="10"/>
        <rFont val="Calibri"/>
        <family val="2"/>
      </rPr>
      <t>)</t>
    </r>
  </si>
  <si>
    <t>SIBIC, University of Murcia, University of Navarra, University of Santiago de Compostela, University of Evora</t>
  </si>
  <si>
    <t>Public</t>
  </si>
  <si>
    <t>Until new update</t>
  </si>
  <si>
    <r>
      <t xml:space="preserve">Pelophylax </t>
    </r>
    <r>
      <rPr>
        <sz val="10"/>
        <rFont val="Calibri"/>
        <family val="2"/>
        <scheme val="minor"/>
      </rPr>
      <t>kl.</t>
    </r>
    <r>
      <rPr>
        <i/>
        <sz val="10"/>
        <rFont val="Calibri"/>
        <family val="2"/>
        <scheme val="minor"/>
      </rPr>
      <t xml:space="preserve"> grafi</t>
    </r>
  </si>
  <si>
    <r>
      <rPr>
        <b/>
        <sz val="11"/>
        <color theme="1"/>
        <rFont val="Calibri"/>
        <family val="2"/>
        <scheme val="minor"/>
      </rPr>
      <t>Portuguese IAS List.</t>
    </r>
    <r>
      <rPr>
        <sz val="11"/>
        <color theme="1"/>
        <rFont val="Calibri"/>
        <family val="2"/>
        <scheme val="minor"/>
      </rPr>
      <t xml:space="preserve"> Lista Nacional de Especies Invasoras (Portugal) (Decreto Lei 92/2019)</t>
    </r>
  </si>
  <si>
    <r>
      <rPr>
        <b/>
        <sz val="11"/>
        <color theme="1"/>
        <rFont val="Calibri"/>
        <family val="2"/>
        <scheme val="minor"/>
      </rPr>
      <t>List of Invasive Alien Species of Union concern</t>
    </r>
    <r>
      <rPr>
        <sz val="11"/>
        <color theme="1"/>
        <rFont val="Calibri"/>
        <family val="2"/>
        <scheme val="minor"/>
      </rPr>
      <t xml:space="preserve"> (from the Reg. EU 1143/2014)</t>
    </r>
  </si>
  <si>
    <t>Spanish; English</t>
  </si>
  <si>
    <t>Blackburn, T.M., Pyšek, P., Bacher, S., Carlton, J.T., Duncan, R.P., Jarošík, V., Wilson, J.R.U., Richardson, D.M. 2011. A proposed unified framework for biological invasions. Trends in Ecology &amp; Evolution, 26 (7): 333-339. DOI: 10.1016/j.tree.2011.03.023; Kocovsky, P.M., Sturtevant, R., Scahrdt, J. 2018. What it is to be established: policy and management implications for non-native and invasive species. Management of Biological Invasions, 9 (3): 177–185. DOI: 10.3391/mbi.2018.9.3.01</t>
  </si>
  <si>
    <t>Roy, H.E., Adriaens, T., Aldridge, D.C., Bacher, S., Bishop, J.D.D., Blackburn,T.M., Branquart, E., Brodie, J., Carboneras, C., Cook, E.J., Copp, G.H., Dean, H.J., Eilenberg, J., Essl, F., Gallardo, B., Garcia, M., García-Berthou, E., Genovesi, P., Hulme, P.E.,... Zenetos, A. 2015. Invasive Alien Species - Prioritising prevention efforts through horizon scanning ENV.B.2/ETU/2014/0016. European Commission. 10.2779/096586.</t>
  </si>
  <si>
    <t>Base de Datos - Lista negra y lista de alerta de las especies exóticas acuáticas de la península ibérica</t>
  </si>
  <si>
    <t>Database - Black list and alert aquatic alien species of the Iberian Peninsula.</t>
  </si>
  <si>
    <t>BBDD_2022_Metalist_TR3</t>
  </si>
  <si>
    <t>BLACK LIST AND ALERT LIST OF THE AQUATIC INVASIVE ALIEN SPECIES OF THE IBERIAN PENINSULA</t>
  </si>
  <si>
    <t>Lista negra y lista de alerta de las especies exóticas acuáticas de la península ibérica. Información complementaria</t>
  </si>
  <si>
    <t>Lists from the transnational horizon scanning exercise focused on the high-risk aquatic invasive alien species for the Iberian inland waters. Appendix A is the Black list; Appendix B is Alert list.</t>
  </si>
  <si>
    <t>Fecha modificación</t>
  </si>
  <si>
    <t>Group</t>
  </si>
  <si>
    <t>Pathways</t>
  </si>
  <si>
    <t>ESTINV</t>
  </si>
  <si>
    <t>3, 4</t>
  </si>
  <si>
    <t>As, At, Pac, Aus, Eur, NAm, SAm</t>
  </si>
  <si>
    <t>2, 3, 4</t>
  </si>
  <si>
    <t>Austrominius modestus</t>
  </si>
  <si>
    <t>Bursatella leachi</t>
  </si>
  <si>
    <t>4, 6</t>
  </si>
  <si>
    <t>2, 5</t>
  </si>
  <si>
    <t>Styela plicata</t>
  </si>
  <si>
    <t>Watersipora scf. subtorquata</t>
  </si>
  <si>
    <t>FWINV</t>
  </si>
  <si>
    <t>Argulus japonicus</t>
  </si>
  <si>
    <t>1, 2</t>
  </si>
  <si>
    <t>1, 3, 4, 6</t>
  </si>
  <si>
    <t>Marissa cornuarietis</t>
  </si>
  <si>
    <t>Afr, As, At, Aus</t>
  </si>
  <si>
    <t>1, 2, 3</t>
  </si>
  <si>
    <t>Potamopyrgus antipodarum</t>
  </si>
  <si>
    <t>Stenopelmus rufinasus</t>
  </si>
  <si>
    <t>Trichocorixa verticalis</t>
  </si>
  <si>
    <t>2, 3</t>
  </si>
  <si>
    <t>Azolla filiculoides</t>
  </si>
  <si>
    <t>Hydrocotyle bonariensis</t>
  </si>
  <si>
    <t>3, 4, 6</t>
  </si>
  <si>
    <t>VERT</t>
  </si>
  <si>
    <t>Alopochen aegyptiacus</t>
  </si>
  <si>
    <t>2, 6</t>
  </si>
  <si>
    <t>Ameiurus melas</t>
  </si>
  <si>
    <t>Branta canadensis</t>
  </si>
  <si>
    <t>Chelydra serpentina</t>
  </si>
  <si>
    <t>Chrysemys picta</t>
  </si>
  <si>
    <t>Lepomis gibbosus</t>
  </si>
  <si>
    <t>Leuciscus idus</t>
  </si>
  <si>
    <t>Mauremys spp.</t>
  </si>
  <si>
    <t>Oxyura jamaicensis</t>
  </si>
  <si>
    <t>Pseudemys concinna</t>
  </si>
  <si>
    <t>Pseudorasbora parva</t>
  </si>
  <si>
    <t>Threskiornis aethiopicus</t>
  </si>
  <si>
    <t>Trachemys scripta</t>
  </si>
  <si>
    <t>Xenopus laevis</t>
  </si>
  <si>
    <t>Acartia  (Acabthacartia) tonsa</t>
  </si>
  <si>
    <t>Black list - Scientific name</t>
  </si>
  <si>
    <t xml:space="preserve">Oliva-Paterna F.J., Ribeiro F., Miranda R., Anastácio P.M., García-Murillo P., Cobo F., Gallardo B., García-Berthou E., Boix D., Medina L., Morcillo F., Oscoz J., Guillén A., Arias A., Cuesta J.A., Aguiar F., Almeida D., Ayres C., Banha F., Barca S., Biurrun I., Cabezas M.P., Calero S., Campos J.A., Capdevila-Argüelles L., Capinha C., Carapeto A., Casals F., Chainho P., Cirujano S., Clavero M., Del Toro V., Encarnação J.P., Fernández-Delgado C., Franco J., García-Meseguer A.J., Guareschi S., Guerrero A., Hermoso V., Machordom A., Martelo J., Mellado-Díaz A., Moreno J.C., Oficialdegui F.J., Olivo del Amo R., Otero J.C., Perdices A., Pou-Rovira Q., Rodríguez-Merino A., Ros M., Sánchez-Gullón E., Sánchez M.I., Sánchez-Fernández D., Sánchez-González J.R., Soriano O., Teodósio M.A., Torralva M., Vieira-Lanero R., Zamora-López, A. &amp; Zamora-Marín J.M. 2021a. LIST OF AQUATIC ALIEN SPECIES OF THE IBERIAN PENINSULA (2020). Updated list of the aquatic alien species introduced and established in Iberian inland waters. Technical Report prepared by LIFE INVASAQUA (LIFE17 GIE/ES/000515). </t>
  </si>
  <si>
    <t xml:space="preserve">Oliva-Paterna F.J., Ribeiro F., Miranda R., Anastácio P.M., García-Murillo P., Cobo F., Gallardo B., García-Berthou E., Boix D., Medina L., Morcillo F., Oscoz J., Guillén A., Arias A., Cuesta J.A., Aguiar F., Almeida D., Ayres C., Banha F., Barca S., Biurrun I., Cabezas M.P., Calero S., Campos J.A., Capdevila-Argüelles L., Capinha C., Carapeto A., Casals F., Chainho P., Cirujano S., Clavero M., Del Toro V., Encarnação J.P., Fernández-Delgado C., Franco J., García-Meseguer A.J., Guareschi S., Guerrero A., Hermoso V., Machordom A., Martelo J., Mellado-Díaz A., Moreno J.C., Oficialdegui F.J., Olivo del Amo R., Otero J.C., Perdices A., Pou-Rovira Q., Rodríguez-Merino A., Ros M., Sánchez-Gullón E., Sánchez M.I., Sánchez-Fernández D., Sánchez-González J.R., Soriano O., Teodósio M.A., Torralva M., Vieira-Lanero R., Zamora-López, A. &amp; Zamora-Marín J.M. 2021b. LIST OF POTENTIAL AQUATIC ALIEN SPECIES OF THE IBERIAN PENINSULA (2020). Updated list of the potential aquatic alien species with high risk of invasion in Iberian inland waters. Technical Report prepared by LIFE INVASAQUA (LIFE17 GIE/ES/000515). </t>
  </si>
  <si>
    <t>2, 4</t>
  </si>
  <si>
    <t>Release</t>
  </si>
  <si>
    <t>Escape</t>
  </si>
  <si>
    <t>Stowaway</t>
  </si>
  <si>
    <t>Corridor</t>
  </si>
  <si>
    <t>Unaided</t>
  </si>
  <si>
    <t>Unknown</t>
  </si>
  <si>
    <t>Contaminant</t>
  </si>
  <si>
    <t>Ludwigia peploides subsp. montevidensis</t>
  </si>
  <si>
    <r>
      <t xml:space="preserve">Pelophylax </t>
    </r>
    <r>
      <rPr>
        <sz val="11"/>
        <rFont val="Calibri"/>
        <family val="2"/>
        <scheme val="minor"/>
      </rPr>
      <t xml:space="preserve">kl. </t>
    </r>
    <r>
      <rPr>
        <i/>
        <sz val="11"/>
        <rFont val="Calibri"/>
        <family val="2"/>
        <scheme val="minor"/>
      </rPr>
      <t>grafi</t>
    </r>
  </si>
  <si>
    <t>ESTINV: Estuarine invertebrates; FWINV: Freshwater invertebrates; PLANTS; VERT: Vertebrates</t>
  </si>
  <si>
    <t>Score</t>
  </si>
  <si>
    <t>Standard error</t>
  </si>
  <si>
    <t>Number of expert scorings</t>
  </si>
  <si>
    <t>Order in group</t>
  </si>
  <si>
    <t>1 = included; 0 = no oncluded</t>
  </si>
  <si>
    <t>Aedes aegypti</t>
  </si>
  <si>
    <t>Potential</t>
  </si>
  <si>
    <t>Aedes koreicus</t>
  </si>
  <si>
    <t>Anopheles quadrimaculatus</t>
  </si>
  <si>
    <t>Cherax tenuimanus</t>
  </si>
  <si>
    <t>Cherax cainii</t>
  </si>
  <si>
    <t>Dikerogammarus villosus</t>
  </si>
  <si>
    <t>Gammaridae</t>
  </si>
  <si>
    <t>Dreissena rostriformis bugensis</t>
  </si>
  <si>
    <t>Faxonius rusticus</t>
  </si>
  <si>
    <t xml:space="preserve">Faxonius rusticus </t>
  </si>
  <si>
    <t>Faxonius virilis</t>
  </si>
  <si>
    <t>Gillia altilis</t>
  </si>
  <si>
    <t xml:space="preserve">Gillia altilis </t>
  </si>
  <si>
    <t>Neotaenioglossa</t>
  </si>
  <si>
    <t>Lithoglyphidae</t>
  </si>
  <si>
    <t>Planorbella trivolvis</t>
  </si>
  <si>
    <t>Pomacea gigas</t>
  </si>
  <si>
    <t>Potamocorbula amurensis</t>
  </si>
  <si>
    <t>Corbulidae</t>
  </si>
  <si>
    <t>Potamon spp.</t>
  </si>
  <si>
    <t>Potamidae</t>
  </si>
  <si>
    <t>Procambarus fallax f. virginallis</t>
  </si>
  <si>
    <r>
      <rPr>
        <i/>
        <sz val="11"/>
        <rFont val="Calibri"/>
        <family val="2"/>
        <scheme val="minor"/>
      </rPr>
      <t>Procambarus virginalis</t>
    </r>
    <r>
      <rPr>
        <sz val="11"/>
        <rFont val="Calibri"/>
        <family val="2"/>
        <scheme val="minor"/>
      </rPr>
      <t xml:space="preserve"> </t>
    </r>
  </si>
  <si>
    <t>Triops longicaudatus</t>
  </si>
  <si>
    <t>Notostraca</t>
  </si>
  <si>
    <t>Triopsidae</t>
  </si>
  <si>
    <t>Ameiurus nebulosus</t>
  </si>
  <si>
    <t>Barbus barbus</t>
  </si>
  <si>
    <t>Castor canadensis</t>
  </si>
  <si>
    <t xml:space="preserve">Castor canadensis </t>
  </si>
  <si>
    <t>Castoridae</t>
  </si>
  <si>
    <t>Channa argus</t>
  </si>
  <si>
    <t>Channidae</t>
  </si>
  <si>
    <t>Clarias batrachus</t>
  </si>
  <si>
    <t>Clariidae</t>
  </si>
  <si>
    <t>Clarias gariepinus</t>
  </si>
  <si>
    <t>Coptodon zillii</t>
  </si>
  <si>
    <t>Ctenopharyngodon idella</t>
  </si>
  <si>
    <t xml:space="preserve">Ctenopharyngodon idella </t>
  </si>
  <si>
    <t>Gambusia affinis</t>
  </si>
  <si>
    <r>
      <rPr>
        <i/>
        <sz val="11"/>
        <rFont val="Calibri"/>
        <family val="2"/>
      </rPr>
      <t>Gambusia affinis</t>
    </r>
    <r>
      <rPr>
        <sz val="11"/>
        <rFont val="Calibri"/>
        <family val="2"/>
        <scheme val="minor"/>
      </rPr>
      <t xml:space="preserve"> </t>
    </r>
  </si>
  <si>
    <t>Hemichromis fasciatus</t>
  </si>
  <si>
    <t>Hypophthalmichthys molitrix</t>
  </si>
  <si>
    <t>Lates niloticus</t>
  </si>
  <si>
    <t>Latidae</t>
  </si>
  <si>
    <t>Lepomis cyanellus</t>
  </si>
  <si>
    <t>Leuciscus leuciscus</t>
  </si>
  <si>
    <t>Micropterus dolomieu</t>
  </si>
  <si>
    <t>Morone spp.</t>
  </si>
  <si>
    <t>Moronidae</t>
  </si>
  <si>
    <t>Neogobius melanostomus</t>
  </si>
  <si>
    <t>Gobiidae</t>
  </si>
  <si>
    <t>Nyctereutes procyonoides</t>
  </si>
  <si>
    <t xml:space="preserve">Nyctereutes procyonoides </t>
  </si>
  <si>
    <t>Canidae</t>
  </si>
  <si>
    <t>1,2,6</t>
  </si>
  <si>
    <t>Oncorhynchus spp.</t>
  </si>
  <si>
    <t>As, Nam</t>
  </si>
  <si>
    <t>Oreochromis mossambicus</t>
  </si>
  <si>
    <t>Perccottus glenii</t>
  </si>
  <si>
    <t xml:space="preserve">Perccottus glenii </t>
  </si>
  <si>
    <t>Odontobutidae</t>
  </si>
  <si>
    <t>Ponticola spp.</t>
  </si>
  <si>
    <t>Proterorhinus semilunaris</t>
  </si>
  <si>
    <t>Rhinella marina</t>
  </si>
  <si>
    <t>Rhodeus amarus</t>
  </si>
  <si>
    <t xml:space="preserve">Rhodeus amarus </t>
  </si>
  <si>
    <t>Sander vitreus</t>
  </si>
  <si>
    <t>Squalius cephalus</t>
  </si>
  <si>
    <t xml:space="preserve">Squalius cephalus </t>
  </si>
  <si>
    <t>Xiphophorus hellerii</t>
  </si>
  <si>
    <t>Aponogeton distachyos</t>
  </si>
  <si>
    <t>Aponogetonaceae</t>
  </si>
  <si>
    <t>Azolla mycrophilla</t>
  </si>
  <si>
    <t>Cabomba caroliniana</t>
  </si>
  <si>
    <t>Cabombaceae</t>
  </si>
  <si>
    <t>Crassula helmsii</t>
  </si>
  <si>
    <t>Elodea callitrichoides</t>
  </si>
  <si>
    <t>Elodea nuttallii</t>
  </si>
  <si>
    <t>Gymnocoronis spilanthoides</t>
  </si>
  <si>
    <t>Asterales</t>
  </si>
  <si>
    <t>Asteraceae</t>
  </si>
  <si>
    <t>Halophila stipulacea</t>
  </si>
  <si>
    <t>As, Afr, At</t>
  </si>
  <si>
    <t>Hydrilla verticillata</t>
  </si>
  <si>
    <t>At, As, Aus, Eur, Afr</t>
  </si>
  <si>
    <t>Hydrocotyle moschata</t>
  </si>
  <si>
    <t>Hydrocotyle sibthorpioides</t>
  </si>
  <si>
    <t>As, Aus, At</t>
  </si>
  <si>
    <t>Hygrophila polysperma</t>
  </si>
  <si>
    <t>Acanthaceae</t>
  </si>
  <si>
    <t>Lemna turionifera</t>
  </si>
  <si>
    <t>Eur, At, NAm</t>
  </si>
  <si>
    <t>Myriophyllum verrucosum</t>
  </si>
  <si>
    <t>Nelumbo nucifera</t>
  </si>
  <si>
    <t>Proteales</t>
  </si>
  <si>
    <t>Nelumbonaceae</t>
  </si>
  <si>
    <t>As, At, Afr</t>
  </si>
  <si>
    <t>Nymphaea lotus</t>
  </si>
  <si>
    <t>Afr, At</t>
  </si>
  <si>
    <t>Ottelia alismoides</t>
  </si>
  <si>
    <t>Pontederia cordata</t>
  </si>
  <si>
    <t>Potamogeton epihydrus</t>
  </si>
  <si>
    <t>Salvinia auriculata</t>
  </si>
  <si>
    <t>2.3.4</t>
  </si>
  <si>
    <t>Spartina anglica</t>
  </si>
  <si>
    <t>Vallisneria nana</t>
  </si>
  <si>
    <t>Zostera japonica</t>
  </si>
  <si>
    <t>Zosteraceae</t>
  </si>
  <si>
    <t>Anadara inaequivalvis</t>
  </si>
  <si>
    <r>
      <t>Anadara inaequivalvis</t>
    </r>
    <r>
      <rPr>
        <sz val="11"/>
        <color theme="1"/>
        <rFont val="Calibri"/>
        <family val="2"/>
        <scheme val="minor"/>
      </rPr>
      <t xml:space="preserve"> </t>
    </r>
  </si>
  <si>
    <t>NAm, As</t>
  </si>
  <si>
    <t>Botrylloides giganteum</t>
  </si>
  <si>
    <t>4, 5</t>
  </si>
  <si>
    <t>Cercopagis pengoi</t>
  </si>
  <si>
    <t>Cercopagidae</t>
  </si>
  <si>
    <t>Crepidula onyx</t>
  </si>
  <si>
    <t>Dikerogammarus spp.</t>
  </si>
  <si>
    <t>Gammarus tigrinus</t>
  </si>
  <si>
    <t>Hemigrapsus spp.</t>
  </si>
  <si>
    <r>
      <t xml:space="preserve">Hemigrapsus </t>
    </r>
    <r>
      <rPr>
        <sz val="11"/>
        <color theme="1"/>
        <rFont val="Calibri"/>
        <family val="2"/>
        <scheme val="minor"/>
      </rPr>
      <t>spp.</t>
    </r>
    <r>
      <rPr>
        <i/>
        <sz val="11"/>
        <color theme="1"/>
        <rFont val="Calibri"/>
        <family val="2"/>
        <scheme val="minor"/>
      </rPr>
      <t xml:space="preserve"> (nec H. takanoi)</t>
    </r>
  </si>
  <si>
    <t>Hemimysis anomala</t>
  </si>
  <si>
    <t>Mysida</t>
  </si>
  <si>
    <t>Mysidae</t>
  </si>
  <si>
    <t>Homarus americanus</t>
  </si>
  <si>
    <t>Nephropidae</t>
  </si>
  <si>
    <t>Hydroides dirampha</t>
  </si>
  <si>
    <t xml:space="preserve">Hydroides dirampha </t>
  </si>
  <si>
    <t>Marenzelleria neglecta</t>
  </si>
  <si>
    <t xml:space="preserve">Marenzelleria spp </t>
  </si>
  <si>
    <t>Megabalanus coccopoma</t>
  </si>
  <si>
    <t>Maxillopoda</t>
  </si>
  <si>
    <t>Pac, Pac, Afr, NAm</t>
  </si>
  <si>
    <t>Mytilopsis adamsi</t>
  </si>
  <si>
    <t>Perna viridis</t>
  </si>
  <si>
    <t>Phyllorhiza punctata</t>
  </si>
  <si>
    <t>Scyphozoa</t>
  </si>
  <si>
    <t>Rhizostomeae</t>
  </si>
  <si>
    <t>Mastigiidae</t>
  </si>
  <si>
    <t>Aus, At, As</t>
  </si>
  <si>
    <t>Portunus segnis</t>
  </si>
  <si>
    <t xml:space="preserve">Portunus segnis </t>
  </si>
  <si>
    <t>Rangia cuneata</t>
  </si>
  <si>
    <t>Mactridae</t>
  </si>
  <si>
    <t>NAm; SAm</t>
  </si>
  <si>
    <t>Rhopilema nomadica</t>
  </si>
  <si>
    <t xml:space="preserve">Rhopilema nomadica </t>
  </si>
  <si>
    <t>Rhizostomatidae</t>
  </si>
  <si>
    <t>As, At, Afr, Pac</t>
  </si>
  <si>
    <t>Spirorbis marioni</t>
  </si>
  <si>
    <t>Spirorbis (Spirorbis) marioni</t>
  </si>
  <si>
    <t>Spondylus spinosus</t>
  </si>
  <si>
    <t>Pectinida</t>
  </si>
  <si>
    <t>Spondylidae</t>
  </si>
  <si>
    <t>At, Aus, Afr, Pac</t>
  </si>
  <si>
    <t>Urosalpinx cinerea</t>
  </si>
  <si>
    <t>Alert list - Scientific name</t>
  </si>
  <si>
    <t>Taxa</t>
  </si>
  <si>
    <t>P. fluviatile: P. ibericum</t>
  </si>
  <si>
    <t>M. americana; M. chrysops; M. saxatilis</t>
  </si>
  <si>
    <t>O. clarkii, O.nerka</t>
  </si>
  <si>
    <t>P. gorlap; P. kessleri</t>
  </si>
  <si>
    <t>D. aralychensis, D. haemobaphes</t>
  </si>
  <si>
    <t>Taxa included</t>
  </si>
  <si>
    <t>Limnoperna fortunei; L. securis; Xenostrobus securis</t>
  </si>
  <si>
    <t xml:space="preserve">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Machordom A., Martelo J., Mellado-Díaz A., Morcillo F., Olivo del Amo R., Oscoz J., Perdices A., Pou-Rovira Q., Rodríguez-Merino A., Ros M., Ruiz-Navarro A., Sánchez-Gullón E., Sánchez M.I., Sánchez-Fernández D., Sánchez-González J.R., Teodósio M.A., Torralva M., Vieira-Lanero R. 2022. BLACK LIST AND ALERT LIST OF THE AQUATIC INVASIVE ALIEN SPECIES OF THE IBERIAN PENINSULA – Horizon scanning exercise focused on the high-risk aquatic invasive alien species for the Iberian inland waters. Technical Report prepared by LIFE INVASAQUA (LIFE17 GIE/ES/000515). </t>
  </si>
  <si>
    <t xml:space="preserve">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EN LA PENÍNSULA IBÉRICA. – Ejercicio de exploración del horizonte centrado en las especies acuáticas exóticas invasoras de alto riesgo para las aguas interiores ibéricas. Documento técnico  LIFE INVASAQUA (LIFE17 GIE/ES/000515). </t>
  </si>
  <si>
    <t>Xenostrobus securis = Limnoperna fortunei</t>
  </si>
  <si>
    <t>Number of expert scoring</t>
  </si>
  <si>
    <t>order of each taxon in the target groups (vertebrates, estuarine invertebrates, freshwater invertebrates, plants)</t>
  </si>
  <si>
    <t>number of evaluating experts for each taxon</t>
  </si>
  <si>
    <t>average/mean value in the scoring for each taxon</t>
  </si>
  <si>
    <t>standard error value in the scoring for each taxon</t>
  </si>
  <si>
    <r>
      <rPr>
        <b/>
        <sz val="11"/>
        <color theme="1"/>
        <rFont val="Calibri"/>
        <family val="2"/>
        <scheme val="minor"/>
      </rPr>
      <t>potential</t>
    </r>
    <r>
      <rPr>
        <sz val="11"/>
        <color theme="1"/>
        <rFont val="Calibri"/>
        <family val="2"/>
        <scheme val="minor"/>
      </rPr>
      <t xml:space="preserve"> (Transport or Introduction) ; </t>
    </r>
    <r>
      <rPr>
        <b/>
        <sz val="11"/>
        <color theme="1"/>
        <rFont val="Calibri"/>
        <family val="2"/>
        <scheme val="minor"/>
      </rPr>
      <t>uncertain taxa</t>
    </r>
    <r>
      <rPr>
        <sz val="11"/>
        <color theme="1"/>
        <rFont val="Calibri"/>
        <family val="2"/>
        <scheme val="minor"/>
      </rPr>
      <t xml:space="preserve">, initial phase (Establishment); </t>
    </r>
    <r>
      <rPr>
        <b/>
        <sz val="11"/>
        <color theme="1"/>
        <rFont val="Calibri"/>
        <family val="2"/>
        <scheme val="minor"/>
      </rPr>
      <t>established taxa,</t>
    </r>
    <r>
      <rPr>
        <sz val="11"/>
        <color theme="1"/>
        <rFont val="Calibri"/>
        <family val="2"/>
        <scheme val="minor"/>
      </rPr>
      <t xml:space="preserve"> Established or naturalized (Spread) ; </t>
    </r>
    <r>
      <rPr>
        <b/>
        <sz val="11"/>
        <color theme="1"/>
        <rFont val="Calibri"/>
        <family val="2"/>
        <scheme val="minor"/>
      </rPr>
      <t xml:space="preserve">cryptogenic. </t>
    </r>
    <r>
      <rPr>
        <sz val="11"/>
        <color theme="1"/>
        <rFont val="Calibri"/>
        <family val="2"/>
        <scheme val="minor"/>
      </rPr>
      <t>The status of each taxa is sensu Oliva-Paterna et al. 2021a and 2021b.</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</si>
</sst>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
    <numFmt numFmtId="165" formatCode="###0.0000"/>
    <numFmt numFmtId="166" formatCode="###0"/>
  </numFmts>
  <fonts count="30" x14ac:knownFonts="1">
    <font>
      <sz val="11"/>
      <color theme="1"/>
      <name val="Calibri"/>
      <family val="2"/>
      <scheme val="minor"/>
    </font>
    <font>
      <sz val="11"/>
      <name val="Calibri"/>
      <family val="2"/>
      <scheme val="minor"/>
    </font>
    <font>
      <sz val="11"/>
      <name val="Calibri"/>
      <family val="2"/>
    </font>
    <font>
      <u/>
      <sz val="11"/>
      <color theme="10"/>
      <name val="Calibri"/>
      <family val="2"/>
      <scheme val="minor"/>
    </font>
    <font>
      <b/>
      <sz val="12"/>
      <name val="Calibri"/>
      <family val="2"/>
      <scheme val="minor"/>
    </font>
    <font>
      <b/>
      <sz val="11"/>
      <color rgb="FFFF0000"/>
      <name val="Calibri"/>
      <family val="2"/>
      <scheme val="minor"/>
    </font>
    <font>
      <b/>
      <sz val="11"/>
      <color theme="1"/>
      <name val="Calibri"/>
      <family val="2"/>
      <scheme val="minor"/>
    </font>
    <font>
      <sz val="11"/>
      <color theme="1"/>
      <name val="Calibri"/>
      <family val="2"/>
      <scheme val="minor"/>
    </font>
    <font>
      <sz val="10"/>
      <name val="Arial"/>
      <family val="2"/>
    </font>
    <font>
      <b/>
      <sz val="11"/>
      <color theme="1"/>
      <name val="Calibri"/>
      <family val="2"/>
    </font>
    <font>
      <sz val="11"/>
      <color indexed="9"/>
      <name val="Calibri"/>
      <family val="2"/>
    </font>
    <font>
      <sz val="11"/>
      <color indexed="8"/>
      <name val="Calibri"/>
      <family val="2"/>
    </font>
    <font>
      <b/>
      <sz val="11"/>
      <name val="Calibri"/>
      <family val="2"/>
      <scheme val="minor"/>
    </font>
    <font>
      <u/>
      <sz val="11"/>
      <color rgb="FF0070C0"/>
      <name val="Calibri"/>
      <family val="2"/>
      <scheme val="minor"/>
    </font>
    <font>
      <sz val="10"/>
      <color theme="1"/>
      <name val="Calibri"/>
      <family val="2"/>
      <scheme val="minor"/>
    </font>
    <font>
      <b/>
      <sz val="10"/>
      <name val="Calibri"/>
      <family val="2"/>
      <scheme val="minor"/>
    </font>
    <font>
      <b/>
      <sz val="10"/>
      <color theme="1"/>
      <name val="Calibri"/>
      <family val="2"/>
      <scheme val="minor"/>
    </font>
    <font>
      <i/>
      <sz val="10"/>
      <name val="Calibri"/>
      <family val="2"/>
      <scheme val="minor"/>
    </font>
    <font>
      <sz val="10"/>
      <name val="Calibri"/>
      <family val="2"/>
      <scheme val="minor"/>
    </font>
    <font>
      <sz val="10"/>
      <name val="Calibri"/>
      <family val="2"/>
    </font>
    <font>
      <i/>
      <sz val="10"/>
      <color theme="1"/>
      <name val="Calibri"/>
      <family val="2"/>
      <scheme val="minor"/>
    </font>
    <font>
      <sz val="10"/>
      <color rgb="FF111111"/>
      <name val="Calibri"/>
      <family val="2"/>
      <scheme val="minor"/>
    </font>
    <font>
      <i/>
      <sz val="10"/>
      <name val="Calibri"/>
      <family val="2"/>
    </font>
    <font>
      <b/>
      <sz val="10"/>
      <name val="Calibri"/>
      <family val="2"/>
    </font>
    <font>
      <b/>
      <sz val="10"/>
      <color rgb="FF333399"/>
      <name val="Calibri"/>
      <family val="2"/>
    </font>
    <font>
      <i/>
      <sz val="11"/>
      <name val="Calibri"/>
      <family val="2"/>
      <scheme val="minor"/>
    </font>
    <font>
      <sz val="11"/>
      <color indexed="8"/>
      <name val="Calibri"/>
      <family val="2"/>
      <scheme val="minor"/>
    </font>
    <font>
      <i/>
      <sz val="11"/>
      <color theme="1"/>
      <name val="Calibri"/>
      <family val="2"/>
      <scheme val="minor"/>
    </font>
    <font>
      <i/>
      <sz val="11"/>
      <name val="Calibri"/>
      <family val="2"/>
    </font>
    <font>
      <sz val="11"/>
      <color theme="1"/>
      <name val="Calibri"/>
      <family val="2"/>
    </font>
  </fonts>
  <fills count="12">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5"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tint="-0.249977111117893"/>
        <bgColor indexed="64"/>
      </patternFill>
    </fill>
    <fill>
      <patternFill patternType="solid">
        <fgColor rgb="FF66FF66"/>
        <bgColor indexed="64"/>
      </patternFill>
    </fill>
    <fill>
      <patternFill patternType="solid">
        <fgColor theme="4" tint="-0.249977111117893"/>
        <bgColor indexed="64"/>
      </patternFill>
    </fill>
    <fill>
      <patternFill patternType="solid">
        <fgColor rgb="FF0070C0"/>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FFFFFF"/>
      </left>
      <right style="thin">
        <color rgb="FFFFFFFF"/>
      </right>
      <top style="thin">
        <color rgb="FFFFFFFF"/>
      </top>
      <bottom style="thin">
        <color rgb="FFFFFFFF"/>
      </bottom>
      <diagonal/>
    </border>
  </borders>
  <cellStyleXfs count="6">
    <xf numFmtId="0" fontId="0" fillId="0" borderId="0"/>
    <xf numFmtId="0" fontId="3" fillId="0" borderId="0" applyNumberFormat="0" applyFill="0" applyBorder="0" applyAlignment="0" applyProtection="0"/>
    <xf numFmtId="0" fontId="7" fillId="0" borderId="0"/>
    <xf numFmtId="0" fontId="7" fillId="0" borderId="0"/>
    <xf numFmtId="0" fontId="8" fillId="0" borderId="0"/>
    <xf numFmtId="0" fontId="8" fillId="0" borderId="0"/>
  </cellStyleXfs>
  <cellXfs count="230">
    <xf numFmtId="0" fontId="0" fillId="0" borderId="0" xfId="0"/>
    <xf numFmtId="0" fontId="0" fillId="0" borderId="0" xfId="0" applyAlignment="1">
      <alignment horizontal="left"/>
    </xf>
    <xf numFmtId="0" fontId="4" fillId="2" borderId="1" xfId="0" applyFont="1" applyFill="1" applyBorder="1" applyAlignment="1">
      <alignment horizontal="center" vertical="center"/>
    </xf>
    <xf numFmtId="0" fontId="5" fillId="4" borderId="2" xfId="0" applyFont="1" applyFill="1" applyBorder="1" applyAlignment="1">
      <alignment horizontal="center"/>
    </xf>
    <xf numFmtId="0" fontId="4" fillId="2" borderId="1" xfId="0" applyFont="1" applyFill="1" applyBorder="1" applyAlignment="1">
      <alignment horizontal="center" vertical="top"/>
    </xf>
    <xf numFmtId="0" fontId="0" fillId="0" borderId="0" xfId="0" applyAlignment="1">
      <alignment vertical="top"/>
    </xf>
    <xf numFmtId="0" fontId="0" fillId="0" borderId="0" xfId="0" applyAlignment="1">
      <alignment wrapText="1"/>
    </xf>
    <xf numFmtId="0" fontId="9" fillId="2" borderId="3" xfId="0" applyNumberFormat="1" applyFont="1" applyFill="1" applyBorder="1" applyAlignment="1">
      <alignment horizontal="left"/>
    </xf>
    <xf numFmtId="0" fontId="0" fillId="6" borderId="0" xfId="0" applyFill="1" applyAlignment="1">
      <alignment wrapText="1"/>
    </xf>
    <xf numFmtId="0" fontId="0" fillId="6" borderId="0" xfId="0" applyFill="1"/>
    <xf numFmtId="20" fontId="0" fillId="6" borderId="0" xfId="0" applyNumberFormat="1" applyFill="1" applyAlignment="1">
      <alignment horizontal="left" vertical="top" wrapText="1"/>
    </xf>
    <xf numFmtId="0" fontId="0" fillId="6" borderId="0" xfId="0" applyFill="1" applyAlignment="1">
      <alignment vertical="top" wrapText="1"/>
    </xf>
    <xf numFmtId="0" fontId="3" fillId="6" borderId="0" xfId="1" applyFill="1" applyAlignment="1">
      <alignment vertical="top" wrapText="1"/>
    </xf>
    <xf numFmtId="0" fontId="0" fillId="6" borderId="0" xfId="0" applyFont="1" applyFill="1" applyAlignment="1">
      <alignment vertical="top" wrapText="1"/>
    </xf>
    <xf numFmtId="0" fontId="13" fillId="6" borderId="0" xfId="1" applyFont="1" applyFill="1" applyAlignment="1">
      <alignment vertical="top" wrapText="1"/>
    </xf>
    <xf numFmtId="0" fontId="13" fillId="6" borderId="0" xfId="1" applyFont="1" applyFill="1" applyAlignment="1">
      <alignment wrapText="1"/>
    </xf>
    <xf numFmtId="0" fontId="0" fillId="6" borderId="0" xfId="0" applyFill="1" applyBorder="1" applyAlignment="1">
      <alignment vertical="top" wrapText="1"/>
    </xf>
    <xf numFmtId="0" fontId="0" fillId="6" borderId="0" xfId="0" applyFill="1" applyAlignment="1">
      <alignment wrapText="1"/>
    </xf>
    <xf numFmtId="0" fontId="0" fillId="6" borderId="0" xfId="0" applyFill="1" applyAlignment="1">
      <alignment vertical="top" wrapText="1"/>
    </xf>
    <xf numFmtId="0" fontId="18" fillId="0" borderId="4" xfId="0" applyFont="1" applyFill="1" applyBorder="1" applyAlignment="1">
      <alignment vertical="top"/>
    </xf>
    <xf numFmtId="0" fontId="14" fillId="0" borderId="4" xfId="0" applyFont="1" applyFill="1" applyBorder="1" applyAlignment="1">
      <alignment vertical="top"/>
    </xf>
    <xf numFmtId="0" fontId="22" fillId="0" borderId="0" xfId="0" applyFont="1" applyFill="1" applyBorder="1" applyAlignment="1">
      <alignment horizontal="left" vertical="top"/>
    </xf>
    <xf numFmtId="0" fontId="14" fillId="0" borderId="0" xfId="0" applyFont="1" applyFill="1" applyBorder="1" applyAlignment="1">
      <alignment vertical="top"/>
    </xf>
    <xf numFmtId="0" fontId="14" fillId="0" borderId="0" xfId="0" applyFont="1" applyAlignment="1">
      <alignment horizontal="left" vertical="top"/>
    </xf>
    <xf numFmtId="0" fontId="14" fillId="0" borderId="0" xfId="0" applyFont="1" applyFill="1" applyBorder="1" applyAlignment="1">
      <alignment horizontal="left" vertical="top"/>
    </xf>
    <xf numFmtId="0" fontId="22" fillId="0" borderId="0" xfId="0" applyFont="1" applyFill="1" applyBorder="1" applyAlignment="1">
      <alignment vertical="top"/>
    </xf>
    <xf numFmtId="0" fontId="17" fillId="0" borderId="0" xfId="0" applyNumberFormat="1" applyFont="1" applyFill="1" applyBorder="1" applyAlignment="1">
      <alignment vertical="top"/>
    </xf>
    <xf numFmtId="0" fontId="17" fillId="0" borderId="0" xfId="0" applyFont="1" applyFill="1" applyBorder="1" applyAlignment="1">
      <alignment horizontal="left" vertical="top"/>
    </xf>
    <xf numFmtId="0" fontId="18" fillId="0" borderId="0" xfId="0" applyFont="1" applyFill="1" applyBorder="1" applyAlignment="1">
      <alignment horizontal="left" vertical="top"/>
    </xf>
    <xf numFmtId="0" fontId="14" fillId="0" borderId="0" xfId="0" applyFont="1" applyAlignment="1">
      <alignment horizontal="left" vertical="top" wrapText="1"/>
    </xf>
    <xf numFmtId="0" fontId="16" fillId="0" borderId="0" xfId="0" applyFont="1"/>
    <xf numFmtId="0" fontId="14" fillId="0" borderId="0" xfId="0" applyFont="1" applyFill="1"/>
    <xf numFmtId="0" fontId="14" fillId="0" borderId="0" xfId="0" applyFont="1" applyAlignment="1">
      <alignment horizontal="center"/>
    </xf>
    <xf numFmtId="0" fontId="14" fillId="0" borderId="0" xfId="0" applyFont="1" applyFill="1" applyBorder="1" applyAlignment="1">
      <alignment horizontal="left"/>
    </xf>
    <xf numFmtId="0" fontId="18" fillId="0" borderId="0" xfId="0" applyFont="1" applyFill="1" applyBorder="1" applyAlignment="1">
      <alignment vertical="top"/>
    </xf>
    <xf numFmtId="0" fontId="18" fillId="0" borderId="4" xfId="0" applyFont="1" applyFill="1" applyBorder="1" applyAlignment="1"/>
    <xf numFmtId="0" fontId="18" fillId="0" borderId="4" xfId="0" applyFont="1" applyFill="1" applyBorder="1" applyAlignment="1">
      <alignment horizontal="left"/>
    </xf>
    <xf numFmtId="0" fontId="17" fillId="0" borderId="4" xfId="0" applyFont="1" applyFill="1" applyBorder="1" applyAlignment="1"/>
    <xf numFmtId="0" fontId="22" fillId="0" borderId="4" xfId="0" applyFont="1" applyFill="1" applyBorder="1" applyAlignment="1"/>
    <xf numFmtId="0" fontId="14" fillId="0" borderId="4" xfId="0" applyFont="1" applyFill="1" applyBorder="1" applyAlignment="1"/>
    <xf numFmtId="0" fontId="14" fillId="0" borderId="0" xfId="0" applyFont="1" applyFill="1" applyAlignment="1">
      <alignment horizontal="left"/>
    </xf>
    <xf numFmtId="0" fontId="14" fillId="0" borderId="0" xfId="0" applyFont="1" applyFill="1" applyAlignment="1"/>
    <xf numFmtId="0" fontId="14" fillId="0" borderId="0" xfId="0" applyFont="1" applyFill="1" applyBorder="1" applyAlignment="1"/>
    <xf numFmtId="0" fontId="14" fillId="0" borderId="0" xfId="0" applyFont="1" applyAlignment="1">
      <alignment horizontal="left"/>
    </xf>
    <xf numFmtId="0" fontId="22" fillId="0" borderId="0" xfId="0" applyFont="1" applyFill="1" applyBorder="1" applyAlignment="1"/>
    <xf numFmtId="0" fontId="18" fillId="0" borderId="4" xfId="0" applyNumberFormat="1" applyFont="1" applyFill="1" applyBorder="1" applyAlignment="1"/>
    <xf numFmtId="0" fontId="20" fillId="0" borderId="4" xfId="0" applyFont="1" applyFill="1" applyBorder="1" applyAlignment="1">
      <alignment vertical="top"/>
    </xf>
    <xf numFmtId="0" fontId="1" fillId="0" borderId="0" xfId="0" applyFont="1" applyFill="1" applyBorder="1" applyAlignment="1">
      <alignment horizontal="left" vertical="top" wrapText="1"/>
    </xf>
    <xf numFmtId="0" fontId="1" fillId="0" borderId="0" xfId="0" applyFont="1" applyFill="1" applyBorder="1" applyAlignment="1">
      <alignment vertical="top" wrapText="1"/>
    </xf>
    <xf numFmtId="0" fontId="18" fillId="0" borderId="4" xfId="0" applyFont="1" applyFill="1" applyBorder="1" applyAlignment="1">
      <alignment horizontal="center" vertical="top"/>
    </xf>
    <xf numFmtId="0" fontId="17" fillId="0" borderId="4" xfId="0" applyFont="1" applyFill="1" applyBorder="1" applyAlignment="1">
      <alignment vertical="top"/>
    </xf>
    <xf numFmtId="0" fontId="18" fillId="0" borderId="4" xfId="0" applyFont="1" applyFill="1" applyBorder="1" applyAlignment="1">
      <alignment horizontal="left" vertical="top"/>
    </xf>
    <xf numFmtId="0" fontId="14" fillId="0" borderId="4" xfId="0" applyFont="1" applyFill="1" applyBorder="1" applyAlignment="1">
      <alignment horizontal="center" vertical="top"/>
    </xf>
    <xf numFmtId="0" fontId="14" fillId="0" borderId="0" xfId="0" applyFont="1" applyFill="1" applyAlignment="1">
      <alignment horizontal="center"/>
    </xf>
    <xf numFmtId="0" fontId="14" fillId="0" borderId="0" xfId="0" applyFont="1" applyFill="1" applyBorder="1" applyAlignment="1">
      <alignment horizontal="center"/>
    </xf>
    <xf numFmtId="0" fontId="18" fillId="0" borderId="4" xfId="0" applyFont="1" applyFill="1" applyBorder="1" applyAlignment="1">
      <alignment horizontal="center"/>
    </xf>
    <xf numFmtId="0" fontId="14" fillId="0" borderId="0" xfId="0" applyFont="1"/>
    <xf numFmtId="0" fontId="14" fillId="0" borderId="0" xfId="0" applyFont="1" applyAlignment="1">
      <alignment vertical="top"/>
    </xf>
    <xf numFmtId="0" fontId="14" fillId="0" borderId="0" xfId="0" applyFont="1" applyAlignment="1"/>
    <xf numFmtId="0" fontId="19" fillId="0" borderId="5" xfId="0" applyFont="1" applyBorder="1"/>
    <xf numFmtId="0" fontId="0" fillId="0" borderId="0" xfId="0" applyFont="1" applyAlignment="1"/>
    <xf numFmtId="0" fontId="23" fillId="0" borderId="5" xfId="0" applyFont="1" applyBorder="1" applyAlignment="1">
      <alignment horizontal="right" vertical="center"/>
    </xf>
    <xf numFmtId="0" fontId="19" fillId="0" borderId="5" xfId="0" applyFont="1" applyBorder="1" applyAlignment="1">
      <alignment vertical="center"/>
    </xf>
    <xf numFmtId="14" fontId="19" fillId="0" borderId="5" xfId="0" applyNumberFormat="1" applyFont="1" applyBorder="1" applyAlignment="1">
      <alignment horizontal="left" vertical="center"/>
    </xf>
    <xf numFmtId="0" fontId="23" fillId="0" borderId="5" xfId="0" applyFont="1" applyBorder="1" applyAlignment="1">
      <alignment horizontal="right" vertical="top"/>
    </xf>
    <xf numFmtId="0" fontId="19" fillId="0" borderId="5" xfId="0" applyFont="1" applyFill="1" applyBorder="1" applyAlignment="1">
      <alignment vertical="center" wrapText="1"/>
    </xf>
    <xf numFmtId="0" fontId="19" fillId="0" borderId="5" xfId="0" applyFont="1" applyFill="1" applyBorder="1" applyAlignment="1">
      <alignment vertical="center"/>
    </xf>
    <xf numFmtId="0" fontId="19" fillId="0" borderId="5" xfId="0" applyFont="1" applyBorder="1" applyAlignment="1">
      <alignment vertical="top" wrapText="1"/>
    </xf>
    <xf numFmtId="0" fontId="19" fillId="0" borderId="5" xfId="0" applyFont="1" applyBorder="1" applyAlignment="1"/>
    <xf numFmtId="0" fontId="19" fillId="0" borderId="5" xfId="0" applyFont="1" applyBorder="1" applyAlignment="1">
      <alignment wrapText="1"/>
    </xf>
    <xf numFmtId="0" fontId="19" fillId="0" borderId="5" xfId="0" applyFont="1" applyFill="1" applyBorder="1" applyAlignment="1">
      <alignment wrapText="1"/>
    </xf>
    <xf numFmtId="14" fontId="19" fillId="0" borderId="5" xfId="0" applyNumberFormat="1" applyFont="1" applyBorder="1" applyAlignment="1">
      <alignment horizontal="left"/>
    </xf>
    <xf numFmtId="0" fontId="10" fillId="2" borderId="3" xfId="0" applyFont="1" applyFill="1" applyBorder="1" applyAlignment="1">
      <alignment wrapText="1"/>
    </xf>
    <xf numFmtId="0" fontId="11" fillId="0" borderId="2" xfId="0" applyFont="1" applyBorder="1" applyAlignment="1">
      <alignment horizontal="left"/>
    </xf>
    <xf numFmtId="0" fontId="2" fillId="0" borderId="2" xfId="0" applyFont="1" applyBorder="1" applyAlignment="1">
      <alignment wrapText="1"/>
    </xf>
    <xf numFmtId="0" fontId="18" fillId="0" borderId="0" xfId="0" applyFont="1" applyFill="1" applyAlignment="1">
      <alignment horizontal="left"/>
    </xf>
    <xf numFmtId="0" fontId="15" fillId="8" borderId="4" xfId="0" applyFont="1" applyFill="1" applyBorder="1" applyAlignment="1">
      <alignment horizontal="center" wrapText="1"/>
    </xf>
    <xf numFmtId="0" fontId="15" fillId="8" borderId="4" xfId="0" applyFont="1" applyFill="1" applyBorder="1" applyAlignment="1">
      <alignment horizontal="left" wrapText="1"/>
    </xf>
    <xf numFmtId="0" fontId="15" fillId="8" borderId="0" xfId="0" applyFont="1" applyFill="1" applyAlignment="1">
      <alignment horizontal="left" wrapText="1"/>
    </xf>
    <xf numFmtId="0" fontId="1" fillId="0" borderId="0" xfId="5" applyFont="1" applyFill="1" applyBorder="1" applyAlignment="1">
      <alignment horizontal="right" vertical="top" wrapText="1"/>
    </xf>
    <xf numFmtId="0" fontId="17" fillId="0" borderId="4" xfId="0" applyNumberFormat="1" applyFont="1" applyFill="1" applyBorder="1" applyAlignment="1"/>
    <xf numFmtId="0" fontId="14" fillId="0" borderId="4" xfId="0" applyFont="1" applyFill="1" applyBorder="1" applyAlignment="1">
      <alignment horizontal="left"/>
    </xf>
    <xf numFmtId="0" fontId="18" fillId="0" borderId="4" xfId="0" applyNumberFormat="1" applyFont="1" applyFill="1" applyBorder="1" applyAlignment="1">
      <alignment horizontal="left"/>
    </xf>
    <xf numFmtId="0" fontId="14" fillId="0" borderId="0" xfId="0" applyNumberFormat="1" applyFont="1" applyFill="1" applyAlignment="1">
      <alignment horizontal="left" vertical="top"/>
    </xf>
    <xf numFmtId="0" fontId="20" fillId="0" borderId="4" xfId="0" applyFont="1" applyFill="1" applyBorder="1" applyAlignment="1"/>
    <xf numFmtId="0" fontId="14" fillId="0" borderId="0" xfId="0" applyNumberFormat="1" applyFont="1" applyFill="1" applyAlignment="1">
      <alignment horizontal="left"/>
    </xf>
    <xf numFmtId="0" fontId="14" fillId="0" borderId="0" xfId="0" applyFont="1" applyFill="1" applyBorder="1" applyAlignment="1">
      <alignment horizontal="right"/>
    </xf>
    <xf numFmtId="0" fontId="14" fillId="0" borderId="4" xfId="0" applyFont="1" applyFill="1" applyBorder="1" applyAlignment="1">
      <alignment horizontal="left" vertical="top"/>
    </xf>
    <xf numFmtId="0" fontId="14" fillId="0" borderId="4" xfId="2" applyFont="1" applyFill="1" applyBorder="1" applyAlignment="1">
      <alignment horizontal="left"/>
    </xf>
    <xf numFmtId="0" fontId="17" fillId="0" borderId="4" xfId="0" applyNumberFormat="1" applyFont="1" applyFill="1" applyBorder="1" applyAlignment="1">
      <alignment horizontal="left" vertical="top"/>
    </xf>
    <xf numFmtId="0" fontId="18" fillId="0" borderId="4" xfId="0" applyNumberFormat="1" applyFont="1" applyFill="1" applyBorder="1" applyAlignment="1">
      <alignment horizontal="left" vertical="top"/>
    </xf>
    <xf numFmtId="0" fontId="17" fillId="0" borderId="4" xfId="0" applyFont="1" applyFill="1" applyBorder="1" applyAlignment="1">
      <alignment horizontal="left"/>
    </xf>
    <xf numFmtId="0" fontId="17" fillId="0" borderId="4" xfId="0" applyNumberFormat="1" applyFont="1" applyFill="1" applyBorder="1" applyAlignment="1">
      <alignment vertical="top"/>
    </xf>
    <xf numFmtId="0" fontId="14" fillId="0" borderId="4" xfId="0" applyFont="1" applyFill="1" applyBorder="1" applyAlignment="1">
      <alignment horizontal="center"/>
    </xf>
    <xf numFmtId="0" fontId="20" fillId="0" borderId="4" xfId="0" applyFont="1" applyFill="1" applyBorder="1" applyAlignment="1">
      <alignment horizontal="left"/>
    </xf>
    <xf numFmtId="0" fontId="21" fillId="0" borderId="4" xfId="0" applyFont="1" applyFill="1" applyBorder="1" applyAlignment="1">
      <alignment horizontal="left"/>
    </xf>
    <xf numFmtId="0" fontId="20" fillId="0" borderId="0" xfId="0" applyFont="1" applyFill="1" applyBorder="1" applyAlignment="1"/>
    <xf numFmtId="0" fontId="18" fillId="0" borderId="0" xfId="0" applyNumberFormat="1" applyFont="1" applyFill="1" applyBorder="1" applyAlignment="1">
      <alignment horizontal="left"/>
    </xf>
    <xf numFmtId="0" fontId="14" fillId="0" borderId="0" xfId="0" applyFont="1" applyFill="1" applyBorder="1" applyAlignment="1">
      <alignment horizontal="center" vertical="top"/>
    </xf>
    <xf numFmtId="0" fontId="17" fillId="0" borderId="0" xfId="0" applyNumberFormat="1" applyFont="1" applyFill="1" applyBorder="1" applyAlignment="1"/>
    <xf numFmtId="0" fontId="18" fillId="0" borderId="0" xfId="0" applyFont="1" applyFill="1" applyBorder="1" applyAlignment="1">
      <alignment horizontal="left"/>
    </xf>
    <xf numFmtId="0" fontId="25" fillId="9" borderId="0" xfId="5" applyFont="1" applyFill="1" applyBorder="1" applyAlignment="1">
      <alignment horizontal="left" vertical="top" wrapText="1"/>
    </xf>
    <xf numFmtId="0" fontId="20" fillId="0" borderId="0" xfId="3" applyFont="1" applyFill="1" applyBorder="1" applyAlignment="1"/>
    <xf numFmtId="0" fontId="20" fillId="0" borderId="0" xfId="0" applyFont="1" applyFill="1" applyBorder="1" applyAlignment="1">
      <alignment vertical="top"/>
    </xf>
    <xf numFmtId="0" fontId="18" fillId="0" borderId="0" xfId="0" applyNumberFormat="1" applyFont="1" applyFill="1" applyBorder="1" applyAlignment="1">
      <alignment horizontal="left" vertical="top"/>
    </xf>
    <xf numFmtId="0" fontId="17" fillId="0" borderId="0" xfId="0" applyFont="1" applyFill="1" applyBorder="1" applyAlignment="1">
      <alignment vertical="top"/>
    </xf>
    <xf numFmtId="0" fontId="25" fillId="5" borderId="0" xfId="5" applyFont="1" applyFill="1" applyBorder="1" applyAlignment="1">
      <alignment horizontal="left" vertical="top" wrapText="1"/>
    </xf>
    <xf numFmtId="0" fontId="17" fillId="0" borderId="0" xfId="0" applyFont="1" applyFill="1" applyBorder="1" applyAlignment="1"/>
    <xf numFmtId="0" fontId="17" fillId="0" borderId="4" xfId="0" applyNumberFormat="1" applyFont="1" applyFill="1" applyBorder="1" applyAlignment="1">
      <alignment horizontal="left"/>
    </xf>
    <xf numFmtId="0" fontId="18" fillId="0" borderId="0" xfId="0" applyFont="1" applyFill="1" applyBorder="1" applyAlignment="1">
      <alignment horizontal="center" vertical="top"/>
    </xf>
    <xf numFmtId="0" fontId="14" fillId="0" borderId="0" xfId="0" applyFont="1" applyFill="1" applyAlignment="1">
      <alignment horizontal="right"/>
    </xf>
    <xf numFmtId="0" fontId="0" fillId="0" borderId="2" xfId="0" applyBorder="1" applyAlignment="1">
      <alignment horizontal="left"/>
    </xf>
    <xf numFmtId="164" fontId="26" fillId="9" borderId="0" xfId="5" applyNumberFormat="1" applyFont="1" applyFill="1" applyBorder="1" applyAlignment="1">
      <alignment horizontal="right" vertical="top"/>
    </xf>
    <xf numFmtId="165" fontId="26" fillId="9" borderId="0" xfId="5" applyNumberFormat="1" applyFont="1" applyFill="1" applyBorder="1" applyAlignment="1">
      <alignment horizontal="right" vertical="top"/>
    </xf>
    <xf numFmtId="166" fontId="26" fillId="9" borderId="0" xfId="5" applyNumberFormat="1" applyFont="1" applyFill="1" applyBorder="1" applyAlignment="1">
      <alignment horizontal="right" vertical="top"/>
    </xf>
    <xf numFmtId="0" fontId="7" fillId="9" borderId="0" xfId="0" applyFont="1" applyFill="1"/>
    <xf numFmtId="164" fontId="26" fillId="5" borderId="0" xfId="5" applyNumberFormat="1" applyFont="1" applyFill="1" applyBorder="1" applyAlignment="1">
      <alignment horizontal="right" vertical="top"/>
    </xf>
    <xf numFmtId="165" fontId="26" fillId="5" borderId="0" xfId="5" applyNumberFormat="1" applyFont="1" applyFill="1" applyBorder="1" applyAlignment="1">
      <alignment horizontal="right" vertical="top"/>
    </xf>
    <xf numFmtId="166" fontId="26" fillId="5" borderId="0" xfId="5" applyNumberFormat="1" applyFont="1" applyFill="1" applyBorder="1" applyAlignment="1">
      <alignment horizontal="right" vertical="top"/>
    </xf>
    <xf numFmtId="0" fontId="7" fillId="5" borderId="0" xfId="0" applyFont="1" applyFill="1"/>
    <xf numFmtId="164" fontId="1" fillId="5" borderId="0" xfId="5" applyNumberFormat="1" applyFont="1" applyFill="1" applyBorder="1" applyAlignment="1">
      <alignment horizontal="right" vertical="top"/>
    </xf>
    <xf numFmtId="165" fontId="1" fillId="5" borderId="0" xfId="5" applyNumberFormat="1" applyFont="1" applyFill="1" applyBorder="1" applyAlignment="1">
      <alignment horizontal="right" vertical="top"/>
    </xf>
    <xf numFmtId="166" fontId="1" fillId="5" borderId="0" xfId="5" applyNumberFormat="1" applyFont="1" applyFill="1" applyBorder="1" applyAlignment="1">
      <alignment horizontal="right" vertical="top"/>
    </xf>
    <xf numFmtId="0" fontId="15" fillId="8" borderId="0" xfId="0" applyFont="1" applyFill="1" applyAlignment="1">
      <alignment horizontal="left"/>
    </xf>
    <xf numFmtId="0" fontId="15" fillId="8" borderId="0" xfId="0" applyFont="1" applyFill="1" applyAlignment="1">
      <alignment horizontal="right"/>
    </xf>
    <xf numFmtId="0" fontId="7" fillId="7" borderId="0" xfId="0" applyFont="1" applyFill="1"/>
    <xf numFmtId="164" fontId="26" fillId="7" borderId="0" xfId="5" applyNumberFormat="1" applyFont="1" applyFill="1" applyBorder="1" applyAlignment="1">
      <alignment horizontal="right" vertical="top"/>
    </xf>
    <xf numFmtId="165" fontId="26" fillId="7" borderId="0" xfId="5" applyNumberFormat="1" applyFont="1" applyFill="1" applyBorder="1" applyAlignment="1">
      <alignment horizontal="right" vertical="top"/>
    </xf>
    <xf numFmtId="166" fontId="26" fillId="7" borderId="0" xfId="5" applyNumberFormat="1" applyFont="1" applyFill="1" applyBorder="1" applyAlignment="1">
      <alignment horizontal="right" vertical="top"/>
    </xf>
    <xf numFmtId="0" fontId="25" fillId="7" borderId="0" xfId="5" applyFont="1" applyFill="1" applyBorder="1" applyAlignment="1">
      <alignment horizontal="left" vertical="top" wrapText="1"/>
    </xf>
    <xf numFmtId="0" fontId="7" fillId="10" borderId="0" xfId="0" applyFont="1" applyFill="1"/>
    <xf numFmtId="164" fontId="26" fillId="10" borderId="0" xfId="5" applyNumberFormat="1" applyFont="1" applyFill="1" applyBorder="1" applyAlignment="1">
      <alignment horizontal="right" vertical="top"/>
    </xf>
    <xf numFmtId="165" fontId="26" fillId="10" borderId="0" xfId="5" applyNumberFormat="1" applyFont="1" applyFill="1" applyBorder="1" applyAlignment="1">
      <alignment horizontal="right" vertical="top"/>
    </xf>
    <xf numFmtId="166" fontId="26" fillId="10" borderId="0" xfId="5" applyNumberFormat="1" applyFont="1" applyFill="1" applyBorder="1" applyAlignment="1">
      <alignment horizontal="right" vertical="top"/>
    </xf>
    <xf numFmtId="0" fontId="25" fillId="10" borderId="0" xfId="5" applyFont="1" applyFill="1" applyBorder="1" applyAlignment="1">
      <alignment horizontal="left" vertical="top" wrapText="1"/>
    </xf>
    <xf numFmtId="0" fontId="15" fillId="8" borderId="0" xfId="0" applyFont="1" applyFill="1" applyAlignment="1">
      <alignment horizontal="center" wrapText="1"/>
    </xf>
    <xf numFmtId="0" fontId="0" fillId="0" borderId="4" xfId="0" applyFont="1" applyBorder="1" applyAlignment="1">
      <alignment horizontal="center" vertical="top" wrapText="1"/>
    </xf>
    <xf numFmtId="0" fontId="0" fillId="0" borderId="4" xfId="0" applyFont="1" applyFill="1" applyBorder="1" applyAlignment="1">
      <alignment horizontal="center" vertical="top" wrapText="1"/>
    </xf>
    <xf numFmtId="0" fontId="1" fillId="0" borderId="4" xfId="0" applyFont="1" applyFill="1" applyBorder="1" applyAlignment="1">
      <alignment horizontal="center" vertical="top"/>
    </xf>
    <xf numFmtId="0" fontId="1" fillId="3" borderId="4" xfId="0" applyFont="1" applyFill="1" applyBorder="1" applyAlignment="1">
      <alignment horizontal="center" vertical="top"/>
    </xf>
    <xf numFmtId="0" fontId="14" fillId="0" borderId="0" xfId="0" applyNumberFormat="1" applyFont="1" applyFill="1" applyAlignment="1">
      <alignment horizontal="center"/>
    </xf>
    <xf numFmtId="0" fontId="1" fillId="0" borderId="4" xfId="0" applyFont="1" applyBorder="1" applyAlignment="1">
      <alignment horizontal="center" vertical="top"/>
    </xf>
    <xf numFmtId="0" fontId="0" fillId="0" borderId="4" xfId="0" applyFont="1" applyFill="1" applyBorder="1" applyAlignment="1">
      <alignment horizontal="left"/>
    </xf>
    <xf numFmtId="0" fontId="0" fillId="0" borderId="4" xfId="0" applyFill="1" applyBorder="1" applyAlignment="1">
      <alignment horizontal="center"/>
    </xf>
    <xf numFmtId="0" fontId="1" fillId="0" borderId="4" xfId="0" applyNumberFormat="1" applyFont="1" applyFill="1" applyBorder="1" applyAlignment="1">
      <alignment horizontal="left" wrapText="1"/>
    </xf>
    <xf numFmtId="0" fontId="0" fillId="0" borderId="4" xfId="0" applyFill="1" applyBorder="1" applyAlignment="1">
      <alignment horizontal="left"/>
    </xf>
    <xf numFmtId="0" fontId="1" fillId="0" borderId="4" xfId="0" applyFont="1" applyFill="1" applyBorder="1" applyAlignment="1">
      <alignment horizontal="left"/>
    </xf>
    <xf numFmtId="0" fontId="20" fillId="0" borderId="4" xfId="0" applyNumberFormat="1" applyFont="1" applyFill="1" applyBorder="1" applyAlignment="1"/>
    <xf numFmtId="0" fontId="0" fillId="0" borderId="0" xfId="0" applyFont="1" applyBorder="1" applyAlignment="1">
      <alignment horizontal="center" vertical="top" wrapText="1"/>
    </xf>
    <xf numFmtId="0" fontId="0" fillId="0" borderId="0" xfId="0" applyFont="1" applyFill="1" applyBorder="1" applyAlignment="1">
      <alignment horizontal="center" vertical="top" wrapText="1"/>
    </xf>
    <xf numFmtId="0" fontId="1" fillId="0" borderId="0" xfId="0" applyNumberFormat="1" applyFont="1" applyFill="1" applyBorder="1" applyAlignment="1">
      <alignment horizontal="left" vertical="top" wrapText="1"/>
    </xf>
    <xf numFmtId="0" fontId="25" fillId="0" borderId="0" xfId="0" applyNumberFormat="1" applyFont="1" applyFill="1" applyBorder="1" applyAlignment="1">
      <alignment vertical="top" wrapText="1"/>
    </xf>
    <xf numFmtId="0" fontId="16" fillId="0" borderId="0" xfId="0" applyFont="1" applyFill="1" applyAlignment="1"/>
    <xf numFmtId="0" fontId="16" fillId="0" borderId="0" xfId="0" applyFont="1" applyFill="1" applyAlignment="1">
      <alignment horizontal="center"/>
    </xf>
    <xf numFmtId="0" fontId="12" fillId="0" borderId="0" xfId="0" applyFont="1" applyFill="1" applyBorder="1" applyAlignment="1">
      <alignment horizontal="left" vertical="top"/>
    </xf>
    <xf numFmtId="0" fontId="12" fillId="0" borderId="0" xfId="0" applyFont="1" applyFill="1" applyBorder="1" applyAlignment="1">
      <alignment horizontal="left" vertical="top" wrapText="1"/>
    </xf>
    <xf numFmtId="0" fontId="0" fillId="0" borderId="4" xfId="0" applyFont="1" applyFill="1" applyBorder="1" applyAlignment="1">
      <alignment horizontal="center" vertical="top"/>
    </xf>
    <xf numFmtId="0" fontId="0" fillId="0" borderId="4" xfId="0" applyFont="1" applyBorder="1" applyAlignment="1">
      <alignment horizontal="center" vertical="top"/>
    </xf>
    <xf numFmtId="0" fontId="1" fillId="0" borderId="0" xfId="0" applyFont="1" applyFill="1" applyBorder="1" applyAlignment="1">
      <alignment horizontal="center" vertical="top"/>
    </xf>
    <xf numFmtId="0" fontId="1" fillId="3" borderId="0" xfId="0" applyFont="1" applyFill="1" applyBorder="1" applyAlignment="1">
      <alignment horizontal="center" vertical="top"/>
    </xf>
    <xf numFmtId="0" fontId="0" fillId="0" borderId="0" xfId="0" applyFill="1" applyAlignment="1">
      <alignment horizontal="center"/>
    </xf>
    <xf numFmtId="0" fontId="0" fillId="0" borderId="0" xfId="0" applyFont="1" applyFill="1" applyBorder="1" applyAlignment="1">
      <alignment horizontal="center" vertical="top"/>
    </xf>
    <xf numFmtId="0" fontId="1" fillId="3" borderId="0" xfId="0" applyFont="1" applyFill="1" applyBorder="1" applyAlignment="1">
      <alignment horizontal="center"/>
    </xf>
    <xf numFmtId="0" fontId="29" fillId="0" borderId="0" xfId="0" applyFont="1" applyBorder="1" applyAlignment="1">
      <alignment horizontal="center"/>
    </xf>
    <xf numFmtId="0" fontId="29" fillId="0" borderId="0" xfId="0" applyFont="1" applyFill="1" applyBorder="1" applyAlignment="1">
      <alignment horizontal="center"/>
    </xf>
    <xf numFmtId="0" fontId="0" fillId="0" borderId="0" xfId="0" applyFont="1" applyFill="1" applyAlignment="1">
      <alignment horizontal="center"/>
    </xf>
    <xf numFmtId="0" fontId="0" fillId="0" borderId="0" xfId="0" applyFont="1" applyFill="1" applyBorder="1" applyAlignment="1">
      <alignment horizontal="center"/>
    </xf>
    <xf numFmtId="0" fontId="1" fillId="0" borderId="0" xfId="5" applyFont="1" applyFill="1" applyBorder="1" applyAlignment="1">
      <alignment horizontal="right" wrapText="1"/>
    </xf>
    <xf numFmtId="0" fontId="25" fillId="0" borderId="4" xfId="0" applyNumberFormat="1" applyFont="1" applyFill="1" applyBorder="1" applyAlignment="1">
      <alignment wrapText="1"/>
    </xf>
    <xf numFmtId="0" fontId="1" fillId="0" borderId="4" xfId="0" applyFont="1" applyBorder="1" applyAlignment="1">
      <alignment horizontal="left" wrapText="1"/>
    </xf>
    <xf numFmtId="0" fontId="0" fillId="0" borderId="4" xfId="0" applyFont="1" applyBorder="1" applyAlignment="1">
      <alignment horizontal="center" wrapText="1"/>
    </xf>
    <xf numFmtId="0" fontId="0" fillId="0" borderId="4" xfId="0" applyFont="1" applyFill="1" applyBorder="1" applyAlignment="1">
      <alignment horizontal="center" wrapText="1"/>
    </xf>
    <xf numFmtId="0" fontId="27" fillId="0" borderId="4" xfId="0" applyFont="1" applyBorder="1" applyAlignment="1">
      <alignment wrapText="1"/>
    </xf>
    <xf numFmtId="0" fontId="27" fillId="0" borderId="4" xfId="0" applyFont="1" applyBorder="1" applyAlignment="1">
      <alignment horizontal="left" wrapText="1"/>
    </xf>
    <xf numFmtId="0" fontId="1" fillId="0" borderId="4" xfId="0" applyFont="1" applyBorder="1" applyAlignment="1">
      <alignment wrapText="1"/>
    </xf>
    <xf numFmtId="0" fontId="1" fillId="0" borderId="4" xfId="0" applyFont="1" applyFill="1" applyBorder="1" applyAlignment="1">
      <alignment horizontal="left" wrapText="1"/>
    </xf>
    <xf numFmtId="0" fontId="25" fillId="0" borderId="4" xfId="0" applyNumberFormat="1" applyFont="1" applyFill="1" applyBorder="1" applyAlignment="1">
      <alignment horizontal="left" wrapText="1"/>
    </xf>
    <xf numFmtId="0" fontId="27" fillId="0" borderId="4" xfId="0" applyFont="1" applyFill="1" applyBorder="1" applyAlignment="1">
      <alignment wrapText="1"/>
    </xf>
    <xf numFmtId="0" fontId="27" fillId="0" borderId="4" xfId="0" applyNumberFormat="1" applyFont="1" applyFill="1" applyBorder="1" applyAlignment="1">
      <alignment wrapText="1"/>
    </xf>
    <xf numFmtId="0" fontId="1" fillId="0" borderId="4" xfId="0" applyNumberFormat="1" applyFont="1" applyFill="1" applyBorder="1" applyAlignment="1">
      <alignment wrapText="1"/>
    </xf>
    <xf numFmtId="0" fontId="7" fillId="5" borderId="0" xfId="0" applyFont="1" applyFill="1" applyAlignment="1"/>
    <xf numFmtId="164" fontId="26" fillId="5" borderId="0" xfId="5" applyNumberFormat="1" applyFont="1" applyFill="1" applyBorder="1" applyAlignment="1">
      <alignment horizontal="right"/>
    </xf>
    <xf numFmtId="165" fontId="26" fillId="5" borderId="0" xfId="5" applyNumberFormat="1" applyFont="1" applyFill="1" applyBorder="1" applyAlignment="1">
      <alignment horizontal="right"/>
    </xf>
    <xf numFmtId="166" fontId="26" fillId="5" borderId="0" xfId="5" applyNumberFormat="1" applyFont="1" applyFill="1" applyBorder="1" applyAlignment="1">
      <alignment horizontal="right"/>
    </xf>
    <xf numFmtId="0" fontId="25" fillId="5" borderId="0" xfId="5" applyFont="1" applyFill="1" applyBorder="1" applyAlignment="1">
      <alignment horizontal="left" wrapText="1"/>
    </xf>
    <xf numFmtId="0" fontId="1" fillId="0" borderId="4" xfId="0" applyFont="1" applyFill="1" applyBorder="1" applyAlignment="1"/>
    <xf numFmtId="0" fontId="1" fillId="0" borderId="4" xfId="0" applyFont="1" applyFill="1" applyBorder="1" applyAlignment="1">
      <alignment horizontal="center"/>
    </xf>
    <xf numFmtId="0" fontId="1" fillId="3" borderId="4" xfId="0" applyFont="1" applyFill="1" applyBorder="1" applyAlignment="1">
      <alignment horizontal="center"/>
    </xf>
    <xf numFmtId="0" fontId="2" fillId="0" borderId="4" xfId="0" applyFont="1" applyFill="1" applyBorder="1" applyAlignment="1"/>
    <xf numFmtId="0" fontId="1" fillId="0" borderId="4" xfId="0" applyFont="1" applyFill="1" applyBorder="1" applyAlignment="1">
      <alignment wrapText="1"/>
    </xf>
    <xf numFmtId="0" fontId="1" fillId="0" borderId="4" xfId="0" applyFont="1" applyBorder="1" applyAlignment="1">
      <alignment horizontal="center"/>
    </xf>
    <xf numFmtId="0" fontId="28" fillId="0" borderId="4" xfId="0" applyFont="1" applyFill="1" applyBorder="1" applyAlignment="1"/>
    <xf numFmtId="0" fontId="7" fillId="9" borderId="0" xfId="0" applyFont="1" applyFill="1" applyAlignment="1"/>
    <xf numFmtId="164" fontId="26" fillId="9" borderId="0" xfId="5" applyNumberFormat="1" applyFont="1" applyFill="1" applyBorder="1" applyAlignment="1">
      <alignment horizontal="right"/>
    </xf>
    <xf numFmtId="165" fontId="26" fillId="9" borderId="0" xfId="5" applyNumberFormat="1" applyFont="1" applyFill="1" applyBorder="1" applyAlignment="1">
      <alignment horizontal="right"/>
    </xf>
    <xf numFmtId="166" fontId="26" fillId="9" borderId="0" xfId="5" applyNumberFormat="1" applyFont="1" applyFill="1" applyBorder="1" applyAlignment="1">
      <alignment horizontal="right"/>
    </xf>
    <xf numFmtId="0" fontId="25" fillId="9" borderId="0" xfId="5" applyFont="1" applyFill="1" applyBorder="1" applyAlignment="1">
      <alignment horizontal="left" wrapText="1"/>
    </xf>
    <xf numFmtId="0" fontId="25" fillId="0" borderId="4" xfId="0" applyFont="1" applyFill="1" applyBorder="1" applyAlignment="1">
      <alignment wrapText="1"/>
    </xf>
    <xf numFmtId="0" fontId="0" fillId="0" borderId="4" xfId="0" applyFill="1" applyBorder="1" applyAlignment="1"/>
    <xf numFmtId="0" fontId="25" fillId="0" borderId="0" xfId="0" applyNumberFormat="1" applyFont="1" applyFill="1" applyBorder="1" applyAlignment="1">
      <alignment horizontal="left" wrapText="1"/>
    </xf>
    <xf numFmtId="0" fontId="27" fillId="0" borderId="4" xfId="0" applyFont="1" applyFill="1" applyBorder="1" applyAlignment="1"/>
    <xf numFmtId="0" fontId="25" fillId="0" borderId="0" xfId="0" applyNumberFormat="1" applyFont="1" applyFill="1" applyBorder="1" applyAlignment="1"/>
    <xf numFmtId="0" fontId="25" fillId="0" borderId="4" xfId="0" applyNumberFormat="1" applyFont="1" applyFill="1" applyBorder="1" applyAlignment="1"/>
    <xf numFmtId="0" fontId="27" fillId="0" borderId="4" xfId="0" applyFont="1" applyFill="1" applyBorder="1" applyAlignment="1">
      <alignment horizontal="left" wrapText="1"/>
    </xf>
    <xf numFmtId="0" fontId="0" fillId="0" borderId="4" xfId="0" applyBorder="1" applyAlignment="1"/>
    <xf numFmtId="0" fontId="27" fillId="3" borderId="4" xfId="0" applyFont="1" applyFill="1" applyBorder="1" applyAlignment="1"/>
    <xf numFmtId="0" fontId="25" fillId="3" borderId="4" xfId="0" applyNumberFormat="1" applyFont="1" applyFill="1" applyBorder="1" applyAlignment="1">
      <alignment horizontal="left" wrapText="1"/>
    </xf>
    <xf numFmtId="0" fontId="0" fillId="0" borderId="4" xfId="0" applyBorder="1" applyAlignment="1">
      <alignment horizontal="left"/>
    </xf>
    <xf numFmtId="0" fontId="25" fillId="0" borderId="4" xfId="0" applyFont="1" applyBorder="1" applyAlignment="1">
      <alignment wrapText="1"/>
    </xf>
    <xf numFmtId="0" fontId="0" fillId="0" borderId="0" xfId="0" applyFont="1" applyBorder="1" applyAlignment="1">
      <alignment horizontal="center" wrapText="1"/>
    </xf>
    <xf numFmtId="0" fontId="0" fillId="0" borderId="0" xfId="0" applyFont="1" applyFill="1" applyBorder="1" applyAlignment="1">
      <alignment horizontal="center" wrapText="1"/>
    </xf>
    <xf numFmtId="0" fontId="27" fillId="0" borderId="0" xfId="0" applyFont="1" applyFill="1" applyBorder="1" applyAlignment="1">
      <alignment wrapText="1"/>
    </xf>
    <xf numFmtId="0" fontId="1" fillId="0" borderId="0" xfId="0" applyFont="1" applyBorder="1" applyAlignment="1">
      <alignment horizontal="left" wrapText="1"/>
    </xf>
    <xf numFmtId="0" fontId="1" fillId="0" borderId="0" xfId="0" applyFont="1" applyFill="1" applyBorder="1" applyAlignment="1">
      <alignment horizontal="left" wrapText="1"/>
    </xf>
    <xf numFmtId="0" fontId="25" fillId="0" borderId="0" xfId="0" applyFont="1" applyFill="1" applyBorder="1" applyAlignment="1">
      <alignment wrapText="1"/>
    </xf>
    <xf numFmtId="0" fontId="1" fillId="0" borderId="0" xfId="0" applyNumberFormat="1" applyFont="1" applyFill="1" applyBorder="1" applyAlignment="1">
      <alignment horizontal="left" wrapText="1"/>
    </xf>
    <xf numFmtId="0" fontId="25" fillId="0" borderId="0" xfId="0" applyNumberFormat="1" applyFont="1" applyFill="1" applyBorder="1" applyAlignment="1">
      <alignment wrapText="1"/>
    </xf>
    <xf numFmtId="0" fontId="1" fillId="0" borderId="0" xfId="0" applyFont="1" applyBorder="1" applyAlignment="1">
      <alignment wrapText="1"/>
    </xf>
    <xf numFmtId="0" fontId="1" fillId="0" borderId="0" xfId="0" applyFont="1" applyFill="1" applyBorder="1" applyAlignment="1">
      <alignment wrapText="1"/>
    </xf>
    <xf numFmtId="0" fontId="27" fillId="0" borderId="0" xfId="0" applyFont="1" applyFill="1" applyBorder="1" applyAlignment="1">
      <alignment horizontal="left" wrapText="1"/>
    </xf>
    <xf numFmtId="0" fontId="7" fillId="7" borderId="0" xfId="0" applyFont="1" applyFill="1" applyAlignment="1"/>
    <xf numFmtId="164" fontId="26" fillId="7" borderId="0" xfId="5" applyNumberFormat="1" applyFont="1" applyFill="1" applyBorder="1" applyAlignment="1">
      <alignment horizontal="right"/>
    </xf>
    <xf numFmtId="165" fontId="26" fillId="7" borderId="0" xfId="5" applyNumberFormat="1" applyFont="1" applyFill="1" applyBorder="1" applyAlignment="1">
      <alignment horizontal="right"/>
    </xf>
    <xf numFmtId="166" fontId="26" fillId="7" borderId="0" xfId="5" applyNumberFormat="1" applyFont="1" applyFill="1" applyBorder="1" applyAlignment="1">
      <alignment horizontal="right"/>
    </xf>
    <xf numFmtId="0" fontId="25" fillId="7" borderId="0" xfId="5" applyFont="1" applyFill="1" applyBorder="1" applyAlignment="1">
      <alignment horizontal="left" wrapText="1"/>
    </xf>
    <xf numFmtId="0" fontId="7" fillId="11" borderId="0" xfId="0" applyFont="1" applyFill="1" applyAlignment="1"/>
    <xf numFmtId="164" fontId="26" fillId="11" borderId="0" xfId="5" applyNumberFormat="1" applyFont="1" applyFill="1" applyBorder="1" applyAlignment="1">
      <alignment horizontal="right"/>
    </xf>
    <xf numFmtId="165" fontId="26" fillId="11" borderId="0" xfId="5" applyNumberFormat="1" applyFont="1" applyFill="1" applyBorder="1" applyAlignment="1">
      <alignment horizontal="right"/>
    </xf>
    <xf numFmtId="166" fontId="26" fillId="11" borderId="0" xfId="5" applyNumberFormat="1" applyFont="1" applyFill="1" applyBorder="1" applyAlignment="1">
      <alignment horizontal="right"/>
    </xf>
    <xf numFmtId="0" fontId="25" fillId="11" borderId="0" xfId="5" applyFont="1" applyFill="1" applyBorder="1" applyAlignment="1">
      <alignment horizontal="left" wrapText="1"/>
    </xf>
  </cellXfs>
  <cellStyles count="6">
    <cellStyle name="Hipervínculo" xfId="1" builtinId="8"/>
    <cellStyle name="Normal" xfId="0" builtinId="0"/>
    <cellStyle name="Normal 2" xfId="2"/>
    <cellStyle name="Normal 3" xfId="3"/>
    <cellStyle name="Normal 4" xfId="4"/>
    <cellStyle name="Normal_ScoreList" xfId="5"/>
  </cellStyles>
  <dxfs count="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333399"/>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0</xdr:col>
      <xdr:colOff>723900</xdr:colOff>
      <xdr:row>0</xdr:row>
      <xdr:rowOff>19050</xdr:rowOff>
    </xdr:from>
    <xdr:ext cx="1552575" cy="933450"/>
    <xdr:pic>
      <xdr:nvPicPr>
        <xdr:cNvPr id="2" name="image1.png" title="Imagen">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160020" y="19050"/>
          <a:ext cx="1552575" cy="933450"/>
        </a:xfrm>
        <a:prstGeom prst="rect">
          <a:avLst/>
        </a:prstGeom>
        <a:noFill/>
      </xdr:spPr>
    </xdr:pic>
    <xdr:clientData fLocksWithSheet="0"/>
  </xdr:oneCellAnchor>
  <xdr:oneCellAnchor>
    <xdr:from>
      <xdr:col>2</xdr:col>
      <xdr:colOff>1323975</xdr:colOff>
      <xdr:row>0</xdr:row>
      <xdr:rowOff>28575</xdr:rowOff>
    </xdr:from>
    <xdr:ext cx="1238250" cy="933450"/>
    <xdr:pic>
      <xdr:nvPicPr>
        <xdr:cNvPr id="3" name="image2.jpg" title="Imagen">
          <a:extLst>
            <a:ext uri="{FF2B5EF4-FFF2-40B4-BE49-F238E27FC236}">
              <a16:creationId xmlns:a16="http://schemas.microsoft.com/office/drawing/2014/main" xmlns="" id="{00000000-0008-0000-0000-000003000000}"/>
            </a:ext>
          </a:extLst>
        </xdr:cNvPr>
        <xdr:cNvPicPr preferRelativeResize="0"/>
      </xdr:nvPicPr>
      <xdr:blipFill>
        <a:blip xmlns:r="http://schemas.openxmlformats.org/officeDocument/2006/relationships" r:embed="rId2" cstate="print"/>
        <a:stretch>
          <a:fillRect/>
        </a:stretch>
      </xdr:blipFill>
      <xdr:spPr>
        <a:xfrm>
          <a:off x="3472815" y="28575"/>
          <a:ext cx="1238250" cy="933450"/>
        </a:xfrm>
        <a:prstGeom prst="rect">
          <a:avLst/>
        </a:prstGeom>
        <a:noFill/>
      </xdr:spPr>
    </xdr:pic>
    <xdr:clientData fLocksWithSheet="0"/>
  </xdr:oneCellAnchor>
  <xdr:oneCellAnchor>
    <xdr:from>
      <xdr:col>2</xdr:col>
      <xdr:colOff>4352925</xdr:colOff>
      <xdr:row>0</xdr:row>
      <xdr:rowOff>28575</xdr:rowOff>
    </xdr:from>
    <xdr:ext cx="1238250" cy="923925"/>
    <xdr:pic>
      <xdr:nvPicPr>
        <xdr:cNvPr id="4" name="image8.png" title="Imagen">
          <a:extLst>
            <a:ext uri="{FF2B5EF4-FFF2-40B4-BE49-F238E27FC236}">
              <a16:creationId xmlns:a16="http://schemas.microsoft.com/office/drawing/2014/main" xmlns="" id="{00000000-0008-0000-0000-000004000000}"/>
            </a:ext>
          </a:extLst>
        </xdr:cNvPr>
        <xdr:cNvPicPr preferRelativeResize="0"/>
      </xdr:nvPicPr>
      <xdr:blipFill>
        <a:blip xmlns:r="http://schemas.openxmlformats.org/officeDocument/2006/relationships" r:embed="rId3" cstate="print"/>
        <a:stretch>
          <a:fillRect/>
        </a:stretch>
      </xdr:blipFill>
      <xdr:spPr>
        <a:xfrm>
          <a:off x="6501765" y="28575"/>
          <a:ext cx="1238250" cy="923925"/>
        </a:xfrm>
        <a:prstGeom prst="rect">
          <a:avLst/>
        </a:prstGeom>
        <a:noFill/>
      </xdr:spPr>
    </xdr:pic>
    <xdr:clientData fLocksWithSheet="0"/>
  </xdr:oneCellAnchor>
  <xdr:oneCellAnchor>
    <xdr:from>
      <xdr:col>1</xdr:col>
      <xdr:colOff>104775</xdr:colOff>
      <xdr:row>29</xdr:row>
      <xdr:rowOff>38100</xdr:rowOff>
    </xdr:from>
    <xdr:ext cx="1809750" cy="619125"/>
    <xdr:pic>
      <xdr:nvPicPr>
        <xdr:cNvPr id="5" name="image3.jpg" title="Imagen">
          <a:extLst>
            <a:ext uri="{FF2B5EF4-FFF2-40B4-BE49-F238E27FC236}">
              <a16:creationId xmlns:a16="http://schemas.microsoft.com/office/drawing/2014/main" xmlns="" id="{00000000-0008-0000-0000-000005000000}"/>
            </a:ext>
          </a:extLst>
        </xdr:cNvPr>
        <xdr:cNvPicPr preferRelativeResize="0"/>
      </xdr:nvPicPr>
      <xdr:blipFill>
        <a:blip xmlns:r="http://schemas.openxmlformats.org/officeDocument/2006/relationships" r:embed="rId4" cstate="print"/>
        <a:stretch>
          <a:fillRect/>
        </a:stretch>
      </xdr:blipFill>
      <xdr:spPr>
        <a:xfrm>
          <a:off x="264795" y="5280660"/>
          <a:ext cx="1809750" cy="619125"/>
        </a:xfrm>
        <a:prstGeom prst="rect">
          <a:avLst/>
        </a:prstGeom>
        <a:noFill/>
      </xdr:spPr>
    </xdr:pic>
    <xdr:clientData fLocksWithSheet="0"/>
  </xdr:oneCellAnchor>
  <xdr:oneCellAnchor>
    <xdr:from>
      <xdr:col>2</xdr:col>
      <xdr:colOff>123825</xdr:colOff>
      <xdr:row>29</xdr:row>
      <xdr:rowOff>38100</xdr:rowOff>
    </xdr:from>
    <xdr:ext cx="1028700" cy="619125"/>
    <xdr:pic>
      <xdr:nvPicPr>
        <xdr:cNvPr id="6" name="image6.jpg" title="Imagen">
          <a:extLst>
            <a:ext uri="{FF2B5EF4-FFF2-40B4-BE49-F238E27FC236}">
              <a16:creationId xmlns:a16="http://schemas.microsoft.com/office/drawing/2014/main" xmlns="" id="{00000000-0008-0000-0000-000006000000}"/>
            </a:ext>
          </a:extLst>
        </xdr:cNvPr>
        <xdr:cNvPicPr preferRelativeResize="0"/>
      </xdr:nvPicPr>
      <xdr:blipFill>
        <a:blip xmlns:r="http://schemas.openxmlformats.org/officeDocument/2006/relationships" r:embed="rId5" cstate="print"/>
        <a:stretch>
          <a:fillRect/>
        </a:stretch>
      </xdr:blipFill>
      <xdr:spPr>
        <a:xfrm>
          <a:off x="2272665" y="5280660"/>
          <a:ext cx="1028700" cy="619125"/>
        </a:xfrm>
        <a:prstGeom prst="rect">
          <a:avLst/>
        </a:prstGeom>
        <a:noFill/>
      </xdr:spPr>
    </xdr:pic>
    <xdr:clientData fLocksWithSheet="0"/>
  </xdr:oneCellAnchor>
  <xdr:oneCellAnchor>
    <xdr:from>
      <xdr:col>2</xdr:col>
      <xdr:colOff>1295400</xdr:colOff>
      <xdr:row>29</xdr:row>
      <xdr:rowOff>38100</xdr:rowOff>
    </xdr:from>
    <xdr:ext cx="1657350" cy="619125"/>
    <xdr:pic>
      <xdr:nvPicPr>
        <xdr:cNvPr id="7" name="image5.jpg" title="Imagen">
          <a:extLst>
            <a:ext uri="{FF2B5EF4-FFF2-40B4-BE49-F238E27FC236}">
              <a16:creationId xmlns:a16="http://schemas.microsoft.com/office/drawing/2014/main" xmlns="" id="{00000000-0008-0000-0000-000007000000}"/>
            </a:ext>
          </a:extLst>
        </xdr:cNvPr>
        <xdr:cNvPicPr preferRelativeResize="0"/>
      </xdr:nvPicPr>
      <xdr:blipFill>
        <a:blip xmlns:r="http://schemas.openxmlformats.org/officeDocument/2006/relationships" r:embed="rId6" cstate="print"/>
        <a:stretch>
          <a:fillRect/>
        </a:stretch>
      </xdr:blipFill>
      <xdr:spPr>
        <a:xfrm>
          <a:off x="3444240" y="5280660"/>
          <a:ext cx="1657350" cy="619125"/>
        </a:xfrm>
        <a:prstGeom prst="rect">
          <a:avLst/>
        </a:prstGeom>
        <a:noFill/>
      </xdr:spPr>
    </xdr:pic>
    <xdr:clientData fLocksWithSheet="0"/>
  </xdr:oneCellAnchor>
  <xdr:oneCellAnchor>
    <xdr:from>
      <xdr:col>2</xdr:col>
      <xdr:colOff>3095625</xdr:colOff>
      <xdr:row>29</xdr:row>
      <xdr:rowOff>38100</xdr:rowOff>
    </xdr:from>
    <xdr:ext cx="1971675" cy="619125"/>
    <xdr:pic>
      <xdr:nvPicPr>
        <xdr:cNvPr id="8" name="image4.png" title="Imagen">
          <a:extLst>
            <a:ext uri="{FF2B5EF4-FFF2-40B4-BE49-F238E27FC236}">
              <a16:creationId xmlns:a16="http://schemas.microsoft.com/office/drawing/2014/main" xmlns="" id="{00000000-0008-0000-0000-000008000000}"/>
            </a:ext>
          </a:extLst>
        </xdr:cNvPr>
        <xdr:cNvPicPr preferRelativeResize="0"/>
      </xdr:nvPicPr>
      <xdr:blipFill>
        <a:blip xmlns:r="http://schemas.openxmlformats.org/officeDocument/2006/relationships" r:embed="rId7" cstate="print"/>
        <a:stretch>
          <a:fillRect/>
        </a:stretch>
      </xdr:blipFill>
      <xdr:spPr>
        <a:xfrm>
          <a:off x="5244465" y="5280660"/>
          <a:ext cx="1971675" cy="619125"/>
        </a:xfrm>
        <a:prstGeom prst="rect">
          <a:avLst/>
        </a:prstGeom>
        <a:noFill/>
      </xdr:spPr>
    </xdr:pic>
    <xdr:clientData fLocksWithSheet="0"/>
  </xdr:oneCellAnchor>
  <xdr:oneCellAnchor>
    <xdr:from>
      <xdr:col>2</xdr:col>
      <xdr:colOff>5210175</xdr:colOff>
      <xdr:row>29</xdr:row>
      <xdr:rowOff>38100</xdr:rowOff>
    </xdr:from>
    <xdr:ext cx="2181225" cy="619125"/>
    <xdr:pic>
      <xdr:nvPicPr>
        <xdr:cNvPr id="9" name="image7.jpg" title="Imagen">
          <a:extLst>
            <a:ext uri="{FF2B5EF4-FFF2-40B4-BE49-F238E27FC236}">
              <a16:creationId xmlns:a16="http://schemas.microsoft.com/office/drawing/2014/main" xmlns="" id="{00000000-0008-0000-0000-000009000000}"/>
            </a:ext>
          </a:extLst>
        </xdr:cNvPr>
        <xdr:cNvPicPr preferRelativeResize="0"/>
      </xdr:nvPicPr>
      <xdr:blipFill>
        <a:blip xmlns:r="http://schemas.openxmlformats.org/officeDocument/2006/relationships" r:embed="rId8" cstate="print"/>
        <a:stretch>
          <a:fillRect/>
        </a:stretch>
      </xdr:blipFill>
      <xdr:spPr>
        <a:xfrm>
          <a:off x="7359015" y="5280660"/>
          <a:ext cx="2181225" cy="619125"/>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miteco.gob.es/es/biodiversidad/temas/conservacion-de-especies/listadoaloctonas_tcm30-510420.xlsx" TargetMode="External"/><Relationship Id="rId2" Type="http://schemas.openxmlformats.org/officeDocument/2006/relationships/hyperlink" Target="https://ec.europa.eu/environment/nature/invasivealien/list/index_en.htm" TargetMode="External"/><Relationship Id="rId1" Type="http://schemas.openxmlformats.org/officeDocument/2006/relationships/hyperlink" Target="https://www.miteco.gob.es/es/biodiversidad/temas/conservacion-de-especies/especies-exoticas-invasoras/ce-eei-catalogo.aspx" TargetMode="External"/><Relationship Id="rId6" Type="http://schemas.openxmlformats.org/officeDocument/2006/relationships/printerSettings" Target="../printerSettings/printerSettings2.bin"/><Relationship Id="rId5" Type="http://schemas.openxmlformats.org/officeDocument/2006/relationships/hyperlink" Target="https://www.boe.es/eli/es/rd/2020/06/16/570/con" TargetMode="External"/><Relationship Id="rId4" Type="http://schemas.openxmlformats.org/officeDocument/2006/relationships/hyperlink" Target="http://www.boe.es/buscar/act.php?id=BOE-A-2013-85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5"/>
  <sheetViews>
    <sheetView topLeftCell="C25" workbookViewId="0">
      <selection activeCell="C23" sqref="C23"/>
    </sheetView>
  </sheetViews>
  <sheetFormatPr baseColWidth="10" defaultColWidth="14.42578125" defaultRowHeight="15" customHeight="1" x14ac:dyDescent="0.25"/>
  <cols>
    <col min="1" max="1" width="2.28515625" style="60" customWidth="1"/>
    <col min="2" max="2" width="29" style="60" customWidth="1"/>
    <col min="3" max="3" width="92.5703125" style="60" customWidth="1"/>
    <col min="4" max="4" width="88.28515625" style="60" customWidth="1"/>
    <col min="5" max="16384" width="14.42578125" style="60"/>
  </cols>
  <sheetData>
    <row r="1" spans="1:26" x14ac:dyDescent="0.25">
      <c r="A1" s="59"/>
      <c r="B1" s="59"/>
      <c r="C1" s="59"/>
      <c r="D1" s="59"/>
      <c r="E1" s="59"/>
      <c r="F1" s="59"/>
      <c r="G1" s="59"/>
      <c r="H1" s="59"/>
      <c r="I1" s="59"/>
      <c r="J1" s="59"/>
      <c r="K1" s="59"/>
      <c r="L1" s="59"/>
      <c r="M1" s="59"/>
      <c r="N1" s="59"/>
      <c r="O1" s="59"/>
      <c r="P1" s="59"/>
      <c r="Q1" s="59"/>
      <c r="R1" s="59"/>
      <c r="S1" s="59"/>
      <c r="T1" s="59"/>
      <c r="U1" s="59"/>
      <c r="V1" s="59"/>
      <c r="W1" s="59"/>
      <c r="X1" s="59"/>
      <c r="Y1" s="59"/>
      <c r="Z1" s="59"/>
    </row>
    <row r="2" spans="1:26" x14ac:dyDescent="0.25">
      <c r="A2" s="59"/>
      <c r="B2" s="59"/>
      <c r="C2" s="59"/>
      <c r="D2" s="59"/>
      <c r="E2" s="59"/>
      <c r="F2" s="59"/>
      <c r="G2" s="59"/>
      <c r="H2" s="59"/>
      <c r="I2" s="59"/>
      <c r="J2" s="59"/>
      <c r="K2" s="59"/>
      <c r="L2" s="59"/>
      <c r="M2" s="59"/>
      <c r="N2" s="59"/>
      <c r="O2" s="59"/>
      <c r="P2" s="59"/>
      <c r="Q2" s="59"/>
      <c r="R2" s="59"/>
      <c r="S2" s="59"/>
      <c r="T2" s="59"/>
      <c r="U2" s="59"/>
      <c r="V2" s="59"/>
      <c r="W2" s="59"/>
      <c r="X2" s="59"/>
      <c r="Y2" s="59"/>
      <c r="Z2" s="59"/>
    </row>
    <row r="3" spans="1:26" x14ac:dyDescent="0.25">
      <c r="A3" s="59"/>
      <c r="B3" s="59"/>
      <c r="C3" s="59"/>
      <c r="D3" s="59"/>
      <c r="E3" s="59"/>
      <c r="F3" s="59"/>
      <c r="G3" s="59"/>
      <c r="H3" s="59"/>
      <c r="I3" s="59"/>
      <c r="J3" s="59"/>
      <c r="K3" s="59"/>
      <c r="L3" s="59"/>
      <c r="M3" s="59"/>
      <c r="N3" s="59"/>
      <c r="O3" s="59"/>
      <c r="P3" s="59"/>
      <c r="Q3" s="59"/>
      <c r="R3" s="59"/>
      <c r="S3" s="59"/>
      <c r="T3" s="59"/>
      <c r="U3" s="59"/>
      <c r="V3" s="59"/>
      <c r="W3" s="59"/>
      <c r="X3" s="59"/>
      <c r="Y3" s="59"/>
      <c r="Z3" s="59"/>
    </row>
    <row r="4" spans="1:26"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x14ac:dyDescent="0.25">
      <c r="A5" s="59"/>
      <c r="B5" s="59"/>
      <c r="C5" s="59"/>
      <c r="D5" s="59"/>
      <c r="E5" s="59"/>
      <c r="F5" s="59"/>
      <c r="G5" s="59"/>
      <c r="H5" s="59"/>
      <c r="I5" s="59"/>
      <c r="J5" s="59"/>
      <c r="K5" s="59"/>
      <c r="L5" s="59"/>
      <c r="M5" s="59"/>
      <c r="N5" s="59"/>
      <c r="O5" s="59"/>
      <c r="P5" s="59"/>
      <c r="Q5" s="59"/>
      <c r="R5" s="59"/>
      <c r="S5" s="59"/>
      <c r="T5" s="59"/>
      <c r="U5" s="59"/>
      <c r="V5" s="59"/>
      <c r="W5" s="59"/>
      <c r="X5" s="59"/>
      <c r="Y5" s="59"/>
      <c r="Z5" s="59"/>
    </row>
    <row r="6" spans="1:26" x14ac:dyDescent="0.25">
      <c r="A6" s="59"/>
      <c r="B6" s="59"/>
      <c r="C6" s="59"/>
      <c r="D6" s="59"/>
      <c r="E6" s="59"/>
      <c r="F6" s="59"/>
      <c r="G6" s="59"/>
      <c r="H6" s="59"/>
      <c r="I6" s="59"/>
      <c r="J6" s="59"/>
      <c r="K6" s="59"/>
      <c r="L6" s="59"/>
      <c r="M6" s="59"/>
      <c r="N6" s="59"/>
      <c r="O6" s="59"/>
      <c r="P6" s="59"/>
      <c r="Q6" s="59"/>
      <c r="R6" s="59"/>
      <c r="S6" s="59"/>
      <c r="T6" s="59"/>
      <c r="U6" s="59"/>
      <c r="V6" s="59"/>
      <c r="W6" s="59"/>
      <c r="X6" s="59"/>
      <c r="Y6" s="59"/>
      <c r="Z6" s="59"/>
    </row>
    <row r="7" spans="1:26" x14ac:dyDescent="0.25">
      <c r="A7" s="59"/>
      <c r="B7" s="59"/>
      <c r="C7" s="59"/>
      <c r="D7" s="59"/>
      <c r="E7" s="59"/>
      <c r="F7" s="59"/>
      <c r="G7" s="59"/>
      <c r="H7" s="59"/>
      <c r="I7" s="59"/>
      <c r="J7" s="59"/>
      <c r="K7" s="59"/>
      <c r="L7" s="59"/>
      <c r="M7" s="59"/>
      <c r="N7" s="59"/>
      <c r="O7" s="59"/>
      <c r="P7" s="59"/>
      <c r="Q7" s="59"/>
      <c r="R7" s="59"/>
      <c r="S7" s="59"/>
      <c r="T7" s="59"/>
      <c r="U7" s="59"/>
      <c r="V7" s="59"/>
      <c r="W7" s="59"/>
      <c r="X7" s="59"/>
      <c r="Y7" s="59"/>
      <c r="Z7" s="59"/>
    </row>
    <row r="8" spans="1:26" x14ac:dyDescent="0.25">
      <c r="A8" s="59"/>
      <c r="B8" s="61" t="s">
        <v>398</v>
      </c>
      <c r="C8" s="62" t="s">
        <v>433</v>
      </c>
      <c r="D8" s="68" t="s">
        <v>434</v>
      </c>
      <c r="E8" s="59"/>
      <c r="F8" s="59"/>
      <c r="G8" s="59"/>
      <c r="H8" s="59"/>
      <c r="I8" s="59"/>
      <c r="J8" s="59"/>
      <c r="K8" s="59"/>
      <c r="L8" s="59"/>
      <c r="M8" s="59"/>
      <c r="N8" s="59"/>
      <c r="O8" s="59"/>
      <c r="P8" s="59"/>
      <c r="Q8" s="59"/>
      <c r="R8" s="59"/>
      <c r="S8" s="59"/>
      <c r="T8" s="59"/>
      <c r="U8" s="59"/>
      <c r="V8" s="59"/>
      <c r="W8" s="59"/>
      <c r="X8" s="59"/>
      <c r="Y8" s="59"/>
      <c r="Z8" s="59"/>
    </row>
    <row r="9" spans="1:26" x14ac:dyDescent="0.25">
      <c r="A9" s="59"/>
      <c r="B9" s="61" t="s">
        <v>399</v>
      </c>
      <c r="C9" s="62" t="s">
        <v>435</v>
      </c>
      <c r="D9" s="68" t="s">
        <v>435</v>
      </c>
      <c r="E9" s="59"/>
      <c r="F9" s="59"/>
      <c r="G9" s="59"/>
      <c r="H9" s="59"/>
      <c r="I9" s="59"/>
      <c r="J9" s="59"/>
      <c r="K9" s="59"/>
      <c r="L9" s="59"/>
      <c r="M9" s="59"/>
      <c r="N9" s="59"/>
      <c r="O9" s="59"/>
      <c r="P9" s="59"/>
      <c r="Q9" s="59"/>
      <c r="R9" s="59"/>
      <c r="S9" s="59"/>
      <c r="T9" s="59"/>
      <c r="U9" s="59"/>
      <c r="V9" s="59"/>
      <c r="W9" s="59"/>
      <c r="X9" s="59"/>
      <c r="Y9" s="59"/>
      <c r="Z9" s="59"/>
    </row>
    <row r="10" spans="1:26" x14ac:dyDescent="0.25">
      <c r="A10" s="59"/>
      <c r="B10" s="61" t="s">
        <v>400</v>
      </c>
      <c r="C10" s="62" t="s">
        <v>401</v>
      </c>
      <c r="D10" s="68" t="s">
        <v>401</v>
      </c>
      <c r="E10" s="59"/>
      <c r="F10" s="59"/>
      <c r="G10" s="59"/>
      <c r="H10" s="59"/>
      <c r="I10" s="59"/>
      <c r="J10" s="59"/>
      <c r="K10" s="59"/>
      <c r="L10" s="59"/>
      <c r="M10" s="59"/>
      <c r="N10" s="59"/>
      <c r="O10" s="59"/>
      <c r="P10" s="59"/>
      <c r="Q10" s="59"/>
      <c r="R10" s="59"/>
      <c r="S10" s="59"/>
      <c r="T10" s="59"/>
      <c r="U10" s="59"/>
      <c r="V10" s="59"/>
      <c r="W10" s="59"/>
      <c r="X10" s="59"/>
      <c r="Y10" s="59"/>
      <c r="Z10" s="59"/>
    </row>
    <row r="11" spans="1:26" ht="14.45" x14ac:dyDescent="0.3">
      <c r="A11" s="59"/>
      <c r="B11" s="61" t="s">
        <v>402</v>
      </c>
      <c r="C11" s="63">
        <v>44754</v>
      </c>
      <c r="D11" s="63">
        <v>44754</v>
      </c>
      <c r="E11" s="59"/>
      <c r="F11" s="59"/>
      <c r="G11" s="59"/>
      <c r="H11" s="59"/>
      <c r="I11" s="59"/>
      <c r="J11" s="59"/>
      <c r="K11" s="59"/>
      <c r="L11" s="59"/>
      <c r="M11" s="59"/>
      <c r="N11" s="59"/>
      <c r="O11" s="59"/>
      <c r="P11" s="59"/>
      <c r="Q11" s="59"/>
      <c r="R11" s="59"/>
      <c r="S11" s="59"/>
      <c r="T11" s="59"/>
      <c r="U11" s="59"/>
      <c r="V11" s="59"/>
      <c r="W11" s="59"/>
      <c r="X11" s="59"/>
      <c r="Y11" s="59"/>
      <c r="Z11" s="59"/>
    </row>
    <row r="12" spans="1:26" x14ac:dyDescent="0.25">
      <c r="A12" s="59"/>
      <c r="B12" s="61" t="s">
        <v>403</v>
      </c>
      <c r="C12" s="62" t="s">
        <v>437</v>
      </c>
      <c r="D12" s="69" t="s">
        <v>436</v>
      </c>
      <c r="E12" s="59"/>
      <c r="F12" s="59"/>
      <c r="G12" s="59"/>
      <c r="H12" s="59"/>
      <c r="I12" s="59"/>
      <c r="J12" s="59"/>
      <c r="K12" s="59"/>
      <c r="L12" s="59"/>
      <c r="M12" s="59"/>
      <c r="N12" s="59"/>
      <c r="O12" s="59"/>
      <c r="P12" s="59"/>
      <c r="Q12" s="59"/>
      <c r="R12" s="59"/>
      <c r="S12" s="59"/>
      <c r="T12" s="59"/>
      <c r="U12" s="59"/>
      <c r="V12" s="59"/>
      <c r="W12" s="59"/>
      <c r="X12" s="59"/>
      <c r="Y12" s="59"/>
      <c r="Z12" s="59"/>
    </row>
    <row r="13" spans="1:26" x14ac:dyDescent="0.25">
      <c r="A13" s="59"/>
      <c r="B13" s="61" t="s">
        <v>404</v>
      </c>
      <c r="C13" s="62" t="s">
        <v>405</v>
      </c>
      <c r="D13" s="69" t="s">
        <v>422</v>
      </c>
      <c r="E13" s="59"/>
      <c r="F13" s="59"/>
      <c r="G13" s="59"/>
      <c r="H13" s="59"/>
      <c r="I13" s="59"/>
      <c r="J13" s="59"/>
      <c r="K13" s="59"/>
      <c r="L13" s="59"/>
      <c r="M13" s="59"/>
      <c r="N13" s="59"/>
      <c r="O13" s="59"/>
      <c r="P13" s="59"/>
      <c r="Q13" s="59"/>
      <c r="R13" s="59"/>
      <c r="S13" s="59"/>
      <c r="T13" s="59"/>
      <c r="U13" s="59"/>
      <c r="V13" s="59"/>
      <c r="W13" s="59"/>
      <c r="X13" s="59"/>
      <c r="Y13" s="59"/>
      <c r="Z13" s="59"/>
    </row>
    <row r="14" spans="1:26" x14ac:dyDescent="0.25">
      <c r="A14" s="59"/>
      <c r="B14" s="61" t="s">
        <v>406</v>
      </c>
      <c r="C14" s="62" t="s">
        <v>401</v>
      </c>
      <c r="D14" s="69" t="s">
        <v>401</v>
      </c>
      <c r="E14" s="59"/>
      <c r="F14" s="59"/>
      <c r="G14" s="59"/>
      <c r="H14" s="59"/>
      <c r="I14" s="59"/>
      <c r="J14" s="59"/>
      <c r="K14" s="59"/>
      <c r="L14" s="59"/>
      <c r="M14" s="59"/>
      <c r="N14" s="59"/>
      <c r="O14" s="59"/>
      <c r="P14" s="59"/>
      <c r="Q14" s="59"/>
      <c r="R14" s="59"/>
      <c r="S14" s="59"/>
      <c r="T14" s="59"/>
      <c r="U14" s="59"/>
      <c r="V14" s="59"/>
      <c r="W14" s="59"/>
      <c r="X14" s="59"/>
      <c r="Y14" s="59"/>
      <c r="Z14" s="59"/>
    </row>
    <row r="15" spans="1:26" ht="25.5" x14ac:dyDescent="0.25">
      <c r="A15" s="59"/>
      <c r="B15" s="61" t="s">
        <v>407</v>
      </c>
      <c r="C15" s="65"/>
      <c r="D15" s="67" t="s">
        <v>438</v>
      </c>
      <c r="E15" s="59"/>
      <c r="F15" s="59"/>
      <c r="G15" s="59"/>
      <c r="H15" s="59"/>
      <c r="I15" s="59"/>
      <c r="J15" s="59"/>
      <c r="K15" s="59"/>
      <c r="L15" s="59"/>
      <c r="M15" s="59"/>
      <c r="N15" s="59"/>
      <c r="O15" s="59"/>
      <c r="P15" s="59"/>
      <c r="Q15" s="59"/>
      <c r="R15" s="59"/>
      <c r="S15" s="59"/>
      <c r="T15" s="59"/>
      <c r="U15" s="59"/>
      <c r="V15" s="59"/>
      <c r="W15" s="59"/>
      <c r="X15" s="59"/>
      <c r="Y15" s="59"/>
      <c r="Z15" s="59"/>
    </row>
    <row r="16" spans="1:26" ht="18" customHeight="1" x14ac:dyDescent="0.25">
      <c r="A16" s="59"/>
      <c r="B16" s="61" t="s">
        <v>417</v>
      </c>
      <c r="C16" s="65" t="s">
        <v>419</v>
      </c>
      <c r="D16" s="70" t="s">
        <v>423</v>
      </c>
      <c r="E16" s="59"/>
      <c r="F16" s="59"/>
      <c r="G16" s="59"/>
      <c r="H16" s="59"/>
      <c r="I16" s="59"/>
      <c r="J16" s="59"/>
      <c r="K16" s="59"/>
      <c r="L16" s="59"/>
      <c r="M16" s="59"/>
      <c r="N16" s="59"/>
      <c r="O16" s="59"/>
      <c r="P16" s="59"/>
      <c r="Q16" s="59"/>
      <c r="R16" s="59"/>
      <c r="S16" s="59"/>
      <c r="T16" s="59"/>
      <c r="U16" s="59"/>
      <c r="V16" s="59"/>
      <c r="W16" s="59"/>
      <c r="X16" s="59"/>
      <c r="Y16" s="59"/>
      <c r="Z16" s="59"/>
    </row>
    <row r="17" spans="1:26" x14ac:dyDescent="0.25">
      <c r="A17" s="59"/>
      <c r="B17" s="61" t="s">
        <v>418</v>
      </c>
      <c r="C17" s="66" t="s">
        <v>408</v>
      </c>
      <c r="D17" s="70" t="s">
        <v>424</v>
      </c>
      <c r="E17" s="59"/>
      <c r="F17" s="59"/>
      <c r="G17" s="59"/>
      <c r="H17" s="59"/>
      <c r="I17" s="59"/>
      <c r="J17" s="59"/>
      <c r="K17" s="59"/>
      <c r="L17" s="59"/>
      <c r="M17" s="59"/>
      <c r="N17" s="59"/>
      <c r="O17" s="59"/>
      <c r="P17" s="59"/>
      <c r="Q17" s="59"/>
      <c r="R17" s="59"/>
      <c r="S17" s="59"/>
      <c r="T17" s="59"/>
      <c r="U17" s="59"/>
      <c r="V17" s="59"/>
      <c r="W17" s="59"/>
      <c r="X17" s="59"/>
      <c r="Y17" s="59"/>
      <c r="Z17" s="59"/>
    </row>
    <row r="18" spans="1:26" x14ac:dyDescent="0.25">
      <c r="A18" s="59"/>
      <c r="B18" s="61" t="s">
        <v>409</v>
      </c>
      <c r="C18" s="62" t="s">
        <v>410</v>
      </c>
      <c r="D18" s="69" t="s">
        <v>410</v>
      </c>
      <c r="E18" s="59"/>
      <c r="F18" s="59"/>
      <c r="G18" s="59"/>
      <c r="H18" s="59"/>
      <c r="I18" s="59"/>
      <c r="J18" s="59"/>
      <c r="K18" s="59"/>
      <c r="L18" s="59"/>
      <c r="M18" s="59"/>
      <c r="N18" s="59"/>
      <c r="O18" s="59"/>
      <c r="P18" s="59"/>
      <c r="Q18" s="59"/>
      <c r="R18" s="59"/>
      <c r="S18" s="59"/>
      <c r="T18" s="59"/>
      <c r="U18" s="59"/>
      <c r="V18" s="59"/>
      <c r="W18" s="59"/>
      <c r="X18" s="59"/>
      <c r="Y18" s="59"/>
      <c r="Z18" s="59"/>
    </row>
    <row r="19" spans="1:26" ht="127.5" x14ac:dyDescent="0.25">
      <c r="A19" s="59"/>
      <c r="B19" s="64" t="s">
        <v>421</v>
      </c>
      <c r="C19" s="29" t="s">
        <v>669</v>
      </c>
      <c r="D19" s="29" t="s">
        <v>668</v>
      </c>
      <c r="E19" s="59"/>
      <c r="F19" s="59"/>
      <c r="G19" s="59"/>
      <c r="H19" s="59"/>
      <c r="I19" s="59"/>
      <c r="J19" s="59"/>
      <c r="K19" s="59"/>
      <c r="L19" s="59"/>
      <c r="M19" s="59"/>
      <c r="N19" s="59"/>
      <c r="O19" s="59"/>
      <c r="P19" s="59"/>
      <c r="Q19" s="59"/>
      <c r="R19" s="59"/>
      <c r="S19" s="59"/>
      <c r="T19" s="59"/>
      <c r="U19" s="59"/>
      <c r="V19" s="59"/>
      <c r="W19" s="59"/>
      <c r="X19" s="59"/>
      <c r="Y19" s="59"/>
      <c r="Z19" s="59"/>
    </row>
    <row r="20" spans="1:26" ht="14.45" x14ac:dyDescent="0.3">
      <c r="A20" s="59"/>
      <c r="B20" s="61"/>
      <c r="C20" s="62"/>
      <c r="D20" s="68"/>
      <c r="E20" s="59"/>
      <c r="F20" s="59"/>
      <c r="G20" s="59"/>
      <c r="H20" s="59"/>
      <c r="I20" s="59"/>
      <c r="J20" s="59"/>
      <c r="K20" s="59"/>
      <c r="L20" s="59"/>
      <c r="M20" s="59"/>
      <c r="N20" s="59"/>
      <c r="O20" s="59"/>
      <c r="P20" s="59"/>
      <c r="Q20" s="59"/>
      <c r="R20" s="59"/>
      <c r="S20" s="59"/>
      <c r="T20" s="59"/>
      <c r="U20" s="59"/>
      <c r="V20" s="59"/>
      <c r="W20" s="59"/>
      <c r="X20" s="59"/>
      <c r="Y20" s="59"/>
      <c r="Z20" s="59"/>
    </row>
    <row r="21" spans="1:26" ht="14.45" x14ac:dyDescent="0.3">
      <c r="A21" s="59"/>
      <c r="B21" s="61"/>
      <c r="C21" s="62"/>
      <c r="D21" s="68"/>
      <c r="E21" s="59"/>
      <c r="F21" s="59"/>
      <c r="G21" s="59"/>
      <c r="H21" s="59"/>
      <c r="I21" s="59"/>
      <c r="J21" s="59"/>
      <c r="K21" s="59"/>
      <c r="L21" s="59"/>
      <c r="M21" s="59"/>
      <c r="N21" s="59"/>
      <c r="O21" s="59"/>
      <c r="P21" s="59"/>
      <c r="Q21" s="59"/>
      <c r="R21" s="59"/>
      <c r="S21" s="59"/>
      <c r="T21" s="59"/>
      <c r="U21" s="59"/>
      <c r="V21" s="59"/>
      <c r="W21" s="59"/>
      <c r="X21" s="59"/>
      <c r="Y21" s="59"/>
      <c r="Z21" s="59"/>
    </row>
    <row r="22" spans="1:26" ht="14.45" x14ac:dyDescent="0.3">
      <c r="A22" s="59"/>
      <c r="B22" s="61"/>
      <c r="C22" s="62"/>
      <c r="D22" s="68"/>
      <c r="E22" s="59"/>
      <c r="F22" s="59"/>
      <c r="G22" s="59"/>
      <c r="H22" s="59"/>
      <c r="I22" s="59"/>
      <c r="J22" s="59"/>
      <c r="K22" s="59"/>
      <c r="L22" s="59"/>
      <c r="M22" s="59"/>
      <c r="N22" s="59"/>
      <c r="O22" s="59"/>
      <c r="P22" s="59"/>
      <c r="Q22" s="59"/>
      <c r="R22" s="59"/>
      <c r="S22" s="59"/>
      <c r="T22" s="59"/>
      <c r="U22" s="59"/>
      <c r="V22" s="59"/>
      <c r="W22" s="59"/>
      <c r="X22" s="59"/>
      <c r="Y22" s="59"/>
      <c r="Z22" s="59"/>
    </row>
    <row r="23" spans="1:26" x14ac:dyDescent="0.25">
      <c r="A23" s="59"/>
      <c r="B23" s="61" t="s">
        <v>411</v>
      </c>
      <c r="C23" s="62" t="s">
        <v>412</v>
      </c>
      <c r="D23" s="68" t="s">
        <v>425</v>
      </c>
      <c r="E23" s="59"/>
      <c r="F23" s="59"/>
      <c r="G23" s="59"/>
      <c r="H23" s="59"/>
      <c r="I23" s="59"/>
      <c r="J23" s="59"/>
      <c r="K23" s="59"/>
      <c r="L23" s="59"/>
      <c r="M23" s="59"/>
      <c r="N23" s="59"/>
      <c r="O23" s="59"/>
      <c r="P23" s="59"/>
      <c r="Q23" s="59"/>
      <c r="R23" s="59"/>
      <c r="S23" s="59"/>
      <c r="T23" s="59"/>
      <c r="U23" s="59"/>
      <c r="V23" s="59"/>
      <c r="W23" s="59"/>
      <c r="X23" s="59"/>
      <c r="Y23" s="59"/>
      <c r="Z23" s="59"/>
    </row>
    <row r="24" spans="1:26" x14ac:dyDescent="0.25">
      <c r="A24" s="59"/>
      <c r="B24" s="61" t="s">
        <v>413</v>
      </c>
      <c r="C24" s="62" t="s">
        <v>420</v>
      </c>
      <c r="D24" s="60" t="s">
        <v>430</v>
      </c>
      <c r="E24" s="59"/>
      <c r="F24" s="59"/>
      <c r="G24" s="59"/>
      <c r="H24" s="59"/>
      <c r="I24" s="59"/>
      <c r="J24" s="59"/>
      <c r="K24" s="59"/>
      <c r="L24" s="59"/>
      <c r="M24" s="59"/>
      <c r="N24" s="59"/>
      <c r="O24" s="59"/>
      <c r="P24" s="59"/>
      <c r="Q24" s="59"/>
      <c r="R24" s="59"/>
      <c r="S24" s="59"/>
      <c r="T24" s="59"/>
      <c r="U24" s="59"/>
      <c r="V24" s="59"/>
      <c r="W24" s="59"/>
      <c r="X24" s="59"/>
      <c r="Y24" s="59"/>
      <c r="Z24" s="59"/>
    </row>
    <row r="25" spans="1:26" ht="14.45" x14ac:dyDescent="0.3">
      <c r="A25" s="59"/>
      <c r="B25" s="61" t="s">
        <v>414</v>
      </c>
      <c r="C25" s="62"/>
      <c r="D25" s="68"/>
      <c r="E25" s="59"/>
      <c r="F25" s="59"/>
      <c r="G25" s="59"/>
      <c r="H25" s="59"/>
      <c r="I25" s="59"/>
      <c r="J25" s="59"/>
      <c r="K25" s="59"/>
      <c r="L25" s="59"/>
      <c r="M25" s="59"/>
      <c r="N25" s="59"/>
      <c r="O25" s="59"/>
      <c r="P25" s="59"/>
      <c r="Q25" s="59"/>
      <c r="R25" s="59"/>
      <c r="S25" s="59"/>
      <c r="T25" s="59"/>
      <c r="U25" s="59"/>
      <c r="V25" s="59"/>
      <c r="W25" s="59"/>
      <c r="X25" s="59"/>
      <c r="Y25" s="59"/>
      <c r="Z25" s="59"/>
    </row>
    <row r="26" spans="1:26" x14ac:dyDescent="0.25">
      <c r="A26" s="59"/>
      <c r="B26" s="61" t="s">
        <v>415</v>
      </c>
      <c r="C26" s="62" t="s">
        <v>416</v>
      </c>
      <c r="D26" s="68" t="s">
        <v>426</v>
      </c>
      <c r="E26" s="59"/>
      <c r="F26" s="59"/>
      <c r="G26" s="59"/>
      <c r="H26" s="59"/>
      <c r="I26" s="59"/>
      <c r="J26" s="59"/>
      <c r="K26" s="59"/>
      <c r="L26" s="59"/>
      <c r="M26" s="59"/>
      <c r="N26" s="59"/>
      <c r="O26" s="59"/>
      <c r="P26" s="59"/>
      <c r="Q26" s="59"/>
      <c r="R26" s="59"/>
      <c r="S26" s="59"/>
      <c r="T26" s="59"/>
      <c r="U26" s="59"/>
      <c r="V26" s="59"/>
      <c r="W26" s="59"/>
      <c r="X26" s="59"/>
      <c r="Y26" s="59"/>
      <c r="Z26" s="59"/>
    </row>
    <row r="27" spans="1:26" x14ac:dyDescent="0.25">
      <c r="A27" s="59"/>
      <c r="B27" s="61" t="s">
        <v>439</v>
      </c>
      <c r="C27" s="63"/>
      <c r="D27" s="71"/>
      <c r="E27" s="59"/>
      <c r="F27" s="59"/>
      <c r="G27" s="59"/>
      <c r="H27" s="59"/>
      <c r="I27" s="59"/>
      <c r="J27" s="59"/>
      <c r="K27" s="59"/>
      <c r="L27" s="59"/>
      <c r="M27" s="59"/>
      <c r="N27" s="59"/>
      <c r="O27" s="59"/>
      <c r="P27" s="59"/>
      <c r="Q27" s="59"/>
      <c r="R27" s="59"/>
      <c r="S27" s="59"/>
      <c r="T27" s="59"/>
      <c r="U27" s="59"/>
      <c r="V27" s="59"/>
      <c r="W27" s="59"/>
      <c r="X27" s="59"/>
      <c r="Y27" s="59"/>
      <c r="Z27" s="59"/>
    </row>
    <row r="28" spans="1:26" ht="14.45" x14ac:dyDescent="0.3">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spans="1:26" ht="14.45" x14ac:dyDescent="0.3">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spans="1:26" ht="14.45" x14ac:dyDescent="0.3">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spans="1:26" ht="14.45" x14ac:dyDescent="0.3">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spans="1:26" ht="14.45" x14ac:dyDescent="0.3">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spans="1:26" ht="14.45" x14ac:dyDescent="0.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spans="1:26" ht="14.45" x14ac:dyDescent="0.3">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spans="1:26" ht="14.45" x14ac:dyDescent="0.3">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spans="1:26" ht="14.45" x14ac:dyDescent="0.3">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spans="1:26" ht="14.45" x14ac:dyDescent="0.3">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spans="1:26" x14ac:dyDescent="0.25">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spans="1:26" x14ac:dyDescent="0.25">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spans="1:26" x14ac:dyDescent="0.25">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x14ac:dyDescent="0.25">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spans="1:26" x14ac:dyDescent="0.25">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spans="1:26" x14ac:dyDescent="0.25">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spans="1:26" x14ac:dyDescent="0.25">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spans="1:26" x14ac:dyDescent="0.2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spans="1:26" x14ac:dyDescent="0.25">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spans="1:26" x14ac:dyDescent="0.25">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spans="1:26" x14ac:dyDescent="0.25">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spans="1:26" x14ac:dyDescent="0.25">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spans="1:26" x14ac:dyDescent="0.25">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spans="1:26" x14ac:dyDescent="0.25">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spans="1:26" x14ac:dyDescent="0.25">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spans="1:26" x14ac:dyDescent="0.25">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spans="1:26" x14ac:dyDescent="0.25">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spans="1:26" x14ac:dyDescent="0.2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spans="1:26" x14ac:dyDescent="0.25">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spans="1:26" x14ac:dyDescent="0.25">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spans="1:26" x14ac:dyDescent="0.25">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spans="1:26" x14ac:dyDescent="0.25">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spans="1:26" x14ac:dyDescent="0.25">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spans="1:26" x14ac:dyDescent="0.25">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x14ac:dyDescent="0.25">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spans="1:26" x14ac:dyDescent="0.25">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x14ac:dyDescent="0.25">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x14ac:dyDescent="0.2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x14ac:dyDescent="0.25">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spans="1:26" x14ac:dyDescent="0.25">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spans="1:26" x14ac:dyDescent="0.25">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x14ac:dyDescent="0.25">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x14ac:dyDescent="0.25">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spans="1:26" x14ac:dyDescent="0.25">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spans="1:26" x14ac:dyDescent="0.25">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spans="1:26" x14ac:dyDescent="0.25">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spans="1:26" x14ac:dyDescent="0.25">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spans="1:26" x14ac:dyDescent="0.2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spans="1:26" x14ac:dyDescent="0.25">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spans="1:26" x14ac:dyDescent="0.25">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spans="1:26" x14ac:dyDescent="0.25">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spans="1:26" x14ac:dyDescent="0.25">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spans="1:26" x14ac:dyDescent="0.25">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spans="1:26" x14ac:dyDescent="0.25">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spans="1:26" x14ac:dyDescent="0.25">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spans="1:26" x14ac:dyDescent="0.25">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spans="1:26" x14ac:dyDescent="0.25">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spans="1:26" x14ac:dyDescent="0.2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spans="1:26" x14ac:dyDescent="0.25">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spans="1:26" x14ac:dyDescent="0.25">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26" x14ac:dyDescent="0.25">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spans="1:26" x14ac:dyDescent="0.25">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spans="1:26" x14ac:dyDescent="0.25">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spans="1:26" x14ac:dyDescent="0.25">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spans="1:26" x14ac:dyDescent="0.25">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spans="1:26" x14ac:dyDescent="0.25">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spans="1:26" x14ac:dyDescent="0.25">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spans="1:26" x14ac:dyDescent="0.2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spans="1:26" x14ac:dyDescent="0.25">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spans="1:26" x14ac:dyDescent="0.25">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spans="1:26" x14ac:dyDescent="0.25">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spans="1:26" x14ac:dyDescent="0.25">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spans="1:26" x14ac:dyDescent="0.25">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spans="1:26" x14ac:dyDescent="0.25">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spans="1:26" x14ac:dyDescent="0.25">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spans="1:26" x14ac:dyDescent="0.25">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spans="1:26" x14ac:dyDescent="0.25">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spans="1:26" x14ac:dyDescent="0.2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x14ac:dyDescent="0.25">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spans="1:26" x14ac:dyDescent="0.25">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spans="1:26" x14ac:dyDescent="0.25">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x14ac:dyDescent="0.25">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x14ac:dyDescent="0.25">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x14ac:dyDescent="0.25">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26" x14ac:dyDescent="0.25">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spans="1:26" x14ac:dyDescent="0.25">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x14ac:dyDescent="0.25">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spans="1:26" x14ac:dyDescent="0.2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x14ac:dyDescent="0.25">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x14ac:dyDescent="0.25">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x14ac:dyDescent="0.25">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spans="1:26" x14ac:dyDescent="0.25">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spans="1:26" x14ac:dyDescent="0.25">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x14ac:dyDescent="0.25">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x14ac:dyDescent="0.25">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x14ac:dyDescent="0.25">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x14ac:dyDescent="0.25">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x14ac:dyDescent="0.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x14ac:dyDescent="0.25">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x14ac:dyDescent="0.25">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x14ac:dyDescent="0.25">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x14ac:dyDescent="0.25">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x14ac:dyDescent="0.25">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x14ac:dyDescent="0.25">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x14ac:dyDescent="0.25">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x14ac:dyDescent="0.25">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spans="1:26" x14ac:dyDescent="0.25">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x14ac:dyDescent="0.2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x14ac:dyDescent="0.25">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x14ac:dyDescent="0.25">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x14ac:dyDescent="0.25">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x14ac:dyDescent="0.25">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x14ac:dyDescent="0.25">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x14ac:dyDescent="0.25">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x14ac:dyDescent="0.25">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x14ac:dyDescent="0.25">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spans="1:26" x14ac:dyDescent="0.25">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spans="1:26" x14ac:dyDescent="0.2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x14ac:dyDescent="0.25">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x14ac:dyDescent="0.25">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x14ac:dyDescent="0.25">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x14ac:dyDescent="0.25">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x14ac:dyDescent="0.25">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x14ac:dyDescent="0.25">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x14ac:dyDescent="0.25">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x14ac:dyDescent="0.25">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spans="1:26" x14ac:dyDescent="0.25">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spans="1:26" x14ac:dyDescent="0.2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spans="1:26" x14ac:dyDescent="0.25">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spans="1:26" x14ac:dyDescent="0.25">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spans="1:26" x14ac:dyDescent="0.25">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spans="1:26" x14ac:dyDescent="0.25">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spans="1:26" x14ac:dyDescent="0.25">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spans="1:26" x14ac:dyDescent="0.25">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spans="1:26" x14ac:dyDescent="0.25">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spans="1:26" x14ac:dyDescent="0.25">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spans="1:26" x14ac:dyDescent="0.25">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spans="1:26" x14ac:dyDescent="0.2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spans="1:26" x14ac:dyDescent="0.25">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spans="1:26" x14ac:dyDescent="0.25">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spans="1:26" x14ac:dyDescent="0.25">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spans="1:26" x14ac:dyDescent="0.25">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spans="1:26" x14ac:dyDescent="0.25">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spans="1:26" x14ac:dyDescent="0.25">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x14ac:dyDescent="0.25">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spans="1:26" x14ac:dyDescent="0.25">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spans="1:26" x14ac:dyDescent="0.25">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x14ac:dyDescent="0.2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x14ac:dyDescent="0.25">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x14ac:dyDescent="0.25">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spans="1:26" x14ac:dyDescent="0.25">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spans="1:26" x14ac:dyDescent="0.25">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x14ac:dyDescent="0.25">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spans="1:26" x14ac:dyDescent="0.25">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x14ac:dyDescent="0.25">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x14ac:dyDescent="0.25">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x14ac:dyDescent="0.25">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spans="1:26" x14ac:dyDescent="0.2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spans="1:26" x14ac:dyDescent="0.25">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x14ac:dyDescent="0.25">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x14ac:dyDescent="0.25">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x14ac:dyDescent="0.25">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x14ac:dyDescent="0.25">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x14ac:dyDescent="0.25">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x14ac:dyDescent="0.25">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x14ac:dyDescent="0.25">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x14ac:dyDescent="0.25">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x14ac:dyDescent="0.2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x14ac:dyDescent="0.25">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x14ac:dyDescent="0.25">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x14ac:dyDescent="0.25">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1:26" x14ac:dyDescent="0.25">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x14ac:dyDescent="0.25">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x14ac:dyDescent="0.25">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x14ac:dyDescent="0.25">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x14ac:dyDescent="0.25">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x14ac:dyDescent="0.25">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x14ac:dyDescent="0.2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x14ac:dyDescent="0.25">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x14ac:dyDescent="0.25">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x14ac:dyDescent="0.25">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x14ac:dyDescent="0.25">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x14ac:dyDescent="0.25">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x14ac:dyDescent="0.25">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x14ac:dyDescent="0.25">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x14ac:dyDescent="0.25">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x14ac:dyDescent="0.25">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x14ac:dyDescent="0.2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x14ac:dyDescent="0.25">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x14ac:dyDescent="0.25">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x14ac:dyDescent="0.25">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x14ac:dyDescent="0.25">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x14ac:dyDescent="0.25">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x14ac:dyDescent="0.25">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x14ac:dyDescent="0.25">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x14ac:dyDescent="0.25">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x14ac:dyDescent="0.25">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x14ac:dyDescent="0.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x14ac:dyDescent="0.25">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x14ac:dyDescent="0.25">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x14ac:dyDescent="0.25">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x14ac:dyDescent="0.25">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x14ac:dyDescent="0.25">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x14ac:dyDescent="0.25">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x14ac:dyDescent="0.25">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x14ac:dyDescent="0.25">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x14ac:dyDescent="0.25">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x14ac:dyDescent="0.2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x14ac:dyDescent="0.25">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x14ac:dyDescent="0.25">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x14ac:dyDescent="0.25">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x14ac:dyDescent="0.25">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x14ac:dyDescent="0.25">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x14ac:dyDescent="0.25">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x14ac:dyDescent="0.25">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x14ac:dyDescent="0.25">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x14ac:dyDescent="0.25">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x14ac:dyDescent="0.2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x14ac:dyDescent="0.25">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x14ac:dyDescent="0.25">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x14ac:dyDescent="0.25">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x14ac:dyDescent="0.25">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x14ac:dyDescent="0.25">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x14ac:dyDescent="0.25">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x14ac:dyDescent="0.25">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x14ac:dyDescent="0.25">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x14ac:dyDescent="0.25">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x14ac:dyDescent="0.2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x14ac:dyDescent="0.25">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x14ac:dyDescent="0.25">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x14ac:dyDescent="0.25">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x14ac:dyDescent="0.25">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x14ac:dyDescent="0.25">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x14ac:dyDescent="0.25">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x14ac:dyDescent="0.25">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x14ac:dyDescent="0.25">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x14ac:dyDescent="0.25">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x14ac:dyDescent="0.2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x14ac:dyDescent="0.25">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x14ac:dyDescent="0.25">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x14ac:dyDescent="0.25">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x14ac:dyDescent="0.25">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x14ac:dyDescent="0.25">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x14ac:dyDescent="0.25">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x14ac:dyDescent="0.25">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x14ac:dyDescent="0.25">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x14ac:dyDescent="0.25">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x14ac:dyDescent="0.2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x14ac:dyDescent="0.25">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x14ac:dyDescent="0.25">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x14ac:dyDescent="0.25">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x14ac:dyDescent="0.25">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x14ac:dyDescent="0.25">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x14ac:dyDescent="0.25">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x14ac:dyDescent="0.25">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x14ac:dyDescent="0.25">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x14ac:dyDescent="0.25">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x14ac:dyDescent="0.2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x14ac:dyDescent="0.25">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x14ac:dyDescent="0.25">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x14ac:dyDescent="0.25">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x14ac:dyDescent="0.25">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x14ac:dyDescent="0.25">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x14ac:dyDescent="0.25">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x14ac:dyDescent="0.25">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x14ac:dyDescent="0.25">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x14ac:dyDescent="0.25">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x14ac:dyDescent="0.2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x14ac:dyDescent="0.25">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x14ac:dyDescent="0.25">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x14ac:dyDescent="0.25">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x14ac:dyDescent="0.25">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x14ac:dyDescent="0.25">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x14ac:dyDescent="0.25">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x14ac:dyDescent="0.25">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x14ac:dyDescent="0.25">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x14ac:dyDescent="0.25">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x14ac:dyDescent="0.2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x14ac:dyDescent="0.25">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x14ac:dyDescent="0.25">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x14ac:dyDescent="0.25">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x14ac:dyDescent="0.25">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x14ac:dyDescent="0.25">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x14ac:dyDescent="0.25">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x14ac:dyDescent="0.25">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x14ac:dyDescent="0.25">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x14ac:dyDescent="0.25">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x14ac:dyDescent="0.2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x14ac:dyDescent="0.25">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x14ac:dyDescent="0.25">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x14ac:dyDescent="0.25">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x14ac:dyDescent="0.25">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x14ac:dyDescent="0.25">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x14ac:dyDescent="0.25">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x14ac:dyDescent="0.25">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x14ac:dyDescent="0.25">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x14ac:dyDescent="0.25">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x14ac:dyDescent="0.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x14ac:dyDescent="0.25">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x14ac:dyDescent="0.25">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x14ac:dyDescent="0.25">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x14ac:dyDescent="0.25">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x14ac:dyDescent="0.25">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x14ac:dyDescent="0.25">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x14ac:dyDescent="0.25">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x14ac:dyDescent="0.25">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x14ac:dyDescent="0.25">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x14ac:dyDescent="0.2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x14ac:dyDescent="0.25">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x14ac:dyDescent="0.25">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x14ac:dyDescent="0.25">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x14ac:dyDescent="0.25">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x14ac:dyDescent="0.25">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x14ac:dyDescent="0.25">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x14ac:dyDescent="0.25">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x14ac:dyDescent="0.25">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x14ac:dyDescent="0.25">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x14ac:dyDescent="0.2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x14ac:dyDescent="0.25">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x14ac:dyDescent="0.25">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x14ac:dyDescent="0.25">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x14ac:dyDescent="0.25">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x14ac:dyDescent="0.25">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x14ac:dyDescent="0.25">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x14ac:dyDescent="0.25">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x14ac:dyDescent="0.25">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x14ac:dyDescent="0.25">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x14ac:dyDescent="0.2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x14ac:dyDescent="0.25">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x14ac:dyDescent="0.25">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x14ac:dyDescent="0.25">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x14ac:dyDescent="0.25">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x14ac:dyDescent="0.25">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x14ac:dyDescent="0.25">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x14ac:dyDescent="0.25">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x14ac:dyDescent="0.25">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x14ac:dyDescent="0.25">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x14ac:dyDescent="0.2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x14ac:dyDescent="0.25">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x14ac:dyDescent="0.25">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x14ac:dyDescent="0.25">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x14ac:dyDescent="0.25">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x14ac:dyDescent="0.25">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x14ac:dyDescent="0.25">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x14ac:dyDescent="0.25">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x14ac:dyDescent="0.25">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x14ac:dyDescent="0.25">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x14ac:dyDescent="0.2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x14ac:dyDescent="0.25">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x14ac:dyDescent="0.25">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x14ac:dyDescent="0.25">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x14ac:dyDescent="0.25">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x14ac:dyDescent="0.25">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x14ac:dyDescent="0.25">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x14ac:dyDescent="0.25">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x14ac:dyDescent="0.25">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x14ac:dyDescent="0.25">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x14ac:dyDescent="0.2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x14ac:dyDescent="0.25">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x14ac:dyDescent="0.25">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x14ac:dyDescent="0.25">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x14ac:dyDescent="0.25">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x14ac:dyDescent="0.25">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x14ac:dyDescent="0.25">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x14ac:dyDescent="0.25">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x14ac:dyDescent="0.25">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x14ac:dyDescent="0.25">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x14ac:dyDescent="0.2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x14ac:dyDescent="0.25">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x14ac:dyDescent="0.25">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x14ac:dyDescent="0.25">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x14ac:dyDescent="0.25">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x14ac:dyDescent="0.25">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x14ac:dyDescent="0.25">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x14ac:dyDescent="0.25">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x14ac:dyDescent="0.25">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x14ac:dyDescent="0.25">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x14ac:dyDescent="0.2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x14ac:dyDescent="0.25">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x14ac:dyDescent="0.25">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x14ac:dyDescent="0.25">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x14ac:dyDescent="0.25">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x14ac:dyDescent="0.25">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x14ac:dyDescent="0.25">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x14ac:dyDescent="0.25">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x14ac:dyDescent="0.25">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x14ac:dyDescent="0.25">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x14ac:dyDescent="0.2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x14ac:dyDescent="0.25">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x14ac:dyDescent="0.25">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x14ac:dyDescent="0.25">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x14ac:dyDescent="0.25">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x14ac:dyDescent="0.25">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x14ac:dyDescent="0.25">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x14ac:dyDescent="0.25">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x14ac:dyDescent="0.25">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x14ac:dyDescent="0.25">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x14ac:dyDescent="0.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x14ac:dyDescent="0.25">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x14ac:dyDescent="0.25">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x14ac:dyDescent="0.25">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x14ac:dyDescent="0.25">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x14ac:dyDescent="0.25">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x14ac:dyDescent="0.25">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x14ac:dyDescent="0.25">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x14ac:dyDescent="0.25">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x14ac:dyDescent="0.25">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x14ac:dyDescent="0.2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x14ac:dyDescent="0.25">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x14ac:dyDescent="0.25">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x14ac:dyDescent="0.25">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x14ac:dyDescent="0.25">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x14ac:dyDescent="0.25">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x14ac:dyDescent="0.25">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x14ac:dyDescent="0.25">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x14ac:dyDescent="0.25">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x14ac:dyDescent="0.25">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x14ac:dyDescent="0.2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x14ac:dyDescent="0.25">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x14ac:dyDescent="0.25">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x14ac:dyDescent="0.25">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x14ac:dyDescent="0.25">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x14ac:dyDescent="0.25">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x14ac:dyDescent="0.25">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x14ac:dyDescent="0.25">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x14ac:dyDescent="0.25">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x14ac:dyDescent="0.25">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x14ac:dyDescent="0.2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x14ac:dyDescent="0.25">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x14ac:dyDescent="0.25">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x14ac:dyDescent="0.25">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x14ac:dyDescent="0.25">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x14ac:dyDescent="0.25">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x14ac:dyDescent="0.25">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x14ac:dyDescent="0.25">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x14ac:dyDescent="0.25">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x14ac:dyDescent="0.25">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x14ac:dyDescent="0.2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x14ac:dyDescent="0.25">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x14ac:dyDescent="0.25">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x14ac:dyDescent="0.25">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x14ac:dyDescent="0.25">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x14ac:dyDescent="0.25">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x14ac:dyDescent="0.25">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x14ac:dyDescent="0.25">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x14ac:dyDescent="0.25">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x14ac:dyDescent="0.25">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x14ac:dyDescent="0.2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x14ac:dyDescent="0.25">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x14ac:dyDescent="0.25">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x14ac:dyDescent="0.25">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x14ac:dyDescent="0.25">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x14ac:dyDescent="0.25">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x14ac:dyDescent="0.25">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x14ac:dyDescent="0.25">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x14ac:dyDescent="0.25">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x14ac:dyDescent="0.25">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x14ac:dyDescent="0.2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x14ac:dyDescent="0.25">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x14ac:dyDescent="0.25">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x14ac:dyDescent="0.25">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x14ac:dyDescent="0.25">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x14ac:dyDescent="0.25">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x14ac:dyDescent="0.25">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x14ac:dyDescent="0.25">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x14ac:dyDescent="0.25">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x14ac:dyDescent="0.25">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x14ac:dyDescent="0.2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x14ac:dyDescent="0.25">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x14ac:dyDescent="0.25">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x14ac:dyDescent="0.25">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x14ac:dyDescent="0.25">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x14ac:dyDescent="0.25">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x14ac:dyDescent="0.25">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x14ac:dyDescent="0.25">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x14ac:dyDescent="0.25">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x14ac:dyDescent="0.25">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x14ac:dyDescent="0.2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x14ac:dyDescent="0.25">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x14ac:dyDescent="0.25">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x14ac:dyDescent="0.25">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x14ac:dyDescent="0.25">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x14ac:dyDescent="0.25">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x14ac:dyDescent="0.25">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x14ac:dyDescent="0.25">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x14ac:dyDescent="0.25">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x14ac:dyDescent="0.25">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x14ac:dyDescent="0.2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x14ac:dyDescent="0.25">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x14ac:dyDescent="0.25">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x14ac:dyDescent="0.25">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x14ac:dyDescent="0.25">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x14ac:dyDescent="0.25">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x14ac:dyDescent="0.25">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x14ac:dyDescent="0.25">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x14ac:dyDescent="0.25">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x14ac:dyDescent="0.25">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x14ac:dyDescent="0.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x14ac:dyDescent="0.25">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x14ac:dyDescent="0.25">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x14ac:dyDescent="0.25">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x14ac:dyDescent="0.25">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x14ac:dyDescent="0.25">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x14ac:dyDescent="0.25">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x14ac:dyDescent="0.25">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x14ac:dyDescent="0.25">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x14ac:dyDescent="0.25">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x14ac:dyDescent="0.2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x14ac:dyDescent="0.25">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x14ac:dyDescent="0.25">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x14ac:dyDescent="0.25">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x14ac:dyDescent="0.25">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x14ac:dyDescent="0.25">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x14ac:dyDescent="0.25">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x14ac:dyDescent="0.25">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x14ac:dyDescent="0.25">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x14ac:dyDescent="0.25">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x14ac:dyDescent="0.2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x14ac:dyDescent="0.25">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x14ac:dyDescent="0.25">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x14ac:dyDescent="0.25">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x14ac:dyDescent="0.25">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x14ac:dyDescent="0.25">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x14ac:dyDescent="0.25">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x14ac:dyDescent="0.25">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x14ac:dyDescent="0.25">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x14ac:dyDescent="0.25">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x14ac:dyDescent="0.2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x14ac:dyDescent="0.25">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x14ac:dyDescent="0.25">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x14ac:dyDescent="0.25">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x14ac:dyDescent="0.25">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x14ac:dyDescent="0.25">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x14ac:dyDescent="0.25">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x14ac:dyDescent="0.25">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x14ac:dyDescent="0.25">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x14ac:dyDescent="0.25">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x14ac:dyDescent="0.2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x14ac:dyDescent="0.25">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x14ac:dyDescent="0.25">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x14ac:dyDescent="0.25">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x14ac:dyDescent="0.25">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x14ac:dyDescent="0.25">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x14ac:dyDescent="0.25">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x14ac:dyDescent="0.25">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x14ac:dyDescent="0.25">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x14ac:dyDescent="0.25">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x14ac:dyDescent="0.2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x14ac:dyDescent="0.25">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x14ac:dyDescent="0.25">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x14ac:dyDescent="0.25">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x14ac:dyDescent="0.25">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x14ac:dyDescent="0.25">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x14ac:dyDescent="0.25">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x14ac:dyDescent="0.25">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x14ac:dyDescent="0.25">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x14ac:dyDescent="0.25">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x14ac:dyDescent="0.2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x14ac:dyDescent="0.25">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x14ac:dyDescent="0.25">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x14ac:dyDescent="0.25">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x14ac:dyDescent="0.25">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x14ac:dyDescent="0.25">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x14ac:dyDescent="0.25">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x14ac:dyDescent="0.25">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x14ac:dyDescent="0.25">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x14ac:dyDescent="0.25">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x14ac:dyDescent="0.2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x14ac:dyDescent="0.25">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x14ac:dyDescent="0.25">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x14ac:dyDescent="0.25">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x14ac:dyDescent="0.25">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x14ac:dyDescent="0.25">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x14ac:dyDescent="0.25">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x14ac:dyDescent="0.25">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x14ac:dyDescent="0.25">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x14ac:dyDescent="0.25">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x14ac:dyDescent="0.2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x14ac:dyDescent="0.25">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x14ac:dyDescent="0.25">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x14ac:dyDescent="0.25">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x14ac:dyDescent="0.25">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x14ac:dyDescent="0.25">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x14ac:dyDescent="0.25">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x14ac:dyDescent="0.25">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x14ac:dyDescent="0.25">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x14ac:dyDescent="0.25">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x14ac:dyDescent="0.2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x14ac:dyDescent="0.25">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x14ac:dyDescent="0.25">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x14ac:dyDescent="0.25">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x14ac:dyDescent="0.25">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x14ac:dyDescent="0.25">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x14ac:dyDescent="0.25">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x14ac:dyDescent="0.25">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x14ac:dyDescent="0.25">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x14ac:dyDescent="0.25">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x14ac:dyDescent="0.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x14ac:dyDescent="0.25">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x14ac:dyDescent="0.25">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x14ac:dyDescent="0.25">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x14ac:dyDescent="0.25">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x14ac:dyDescent="0.25">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x14ac:dyDescent="0.25">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x14ac:dyDescent="0.25">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x14ac:dyDescent="0.25">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x14ac:dyDescent="0.25">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x14ac:dyDescent="0.2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x14ac:dyDescent="0.25">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x14ac:dyDescent="0.25">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x14ac:dyDescent="0.25">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x14ac:dyDescent="0.25">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x14ac:dyDescent="0.25">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x14ac:dyDescent="0.25">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x14ac:dyDescent="0.25">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x14ac:dyDescent="0.25">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x14ac:dyDescent="0.25">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x14ac:dyDescent="0.2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x14ac:dyDescent="0.25">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x14ac:dyDescent="0.25">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x14ac:dyDescent="0.25">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x14ac:dyDescent="0.25">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x14ac:dyDescent="0.25">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x14ac:dyDescent="0.25">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x14ac:dyDescent="0.25">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x14ac:dyDescent="0.25">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x14ac:dyDescent="0.25">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x14ac:dyDescent="0.2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x14ac:dyDescent="0.25">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x14ac:dyDescent="0.25">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x14ac:dyDescent="0.25">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x14ac:dyDescent="0.25">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x14ac:dyDescent="0.25">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x14ac:dyDescent="0.25">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x14ac:dyDescent="0.25">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x14ac:dyDescent="0.25">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x14ac:dyDescent="0.25">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x14ac:dyDescent="0.2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x14ac:dyDescent="0.25">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x14ac:dyDescent="0.25">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x14ac:dyDescent="0.25">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x14ac:dyDescent="0.25">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x14ac:dyDescent="0.25">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x14ac:dyDescent="0.25">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x14ac:dyDescent="0.25">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x14ac:dyDescent="0.25">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x14ac:dyDescent="0.25">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x14ac:dyDescent="0.2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x14ac:dyDescent="0.25">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x14ac:dyDescent="0.25">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x14ac:dyDescent="0.25">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x14ac:dyDescent="0.25">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x14ac:dyDescent="0.25">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x14ac:dyDescent="0.25">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x14ac:dyDescent="0.25">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x14ac:dyDescent="0.25">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x14ac:dyDescent="0.25">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x14ac:dyDescent="0.2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x14ac:dyDescent="0.25">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x14ac:dyDescent="0.25">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x14ac:dyDescent="0.25">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x14ac:dyDescent="0.25">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x14ac:dyDescent="0.25">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x14ac:dyDescent="0.25">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x14ac:dyDescent="0.25">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x14ac:dyDescent="0.25">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x14ac:dyDescent="0.25">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x14ac:dyDescent="0.2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x14ac:dyDescent="0.25">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x14ac:dyDescent="0.25">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x14ac:dyDescent="0.25">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x14ac:dyDescent="0.25">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x14ac:dyDescent="0.25">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x14ac:dyDescent="0.25">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x14ac:dyDescent="0.25">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x14ac:dyDescent="0.25">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x14ac:dyDescent="0.25">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x14ac:dyDescent="0.2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x14ac:dyDescent="0.25">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x14ac:dyDescent="0.25">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x14ac:dyDescent="0.25">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x14ac:dyDescent="0.25">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x14ac:dyDescent="0.25">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x14ac:dyDescent="0.25">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x14ac:dyDescent="0.25">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x14ac:dyDescent="0.25">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x14ac:dyDescent="0.25">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x14ac:dyDescent="0.2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x14ac:dyDescent="0.25">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x14ac:dyDescent="0.25">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x14ac:dyDescent="0.25">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x14ac:dyDescent="0.25">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x14ac:dyDescent="0.25">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x14ac:dyDescent="0.25">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x14ac:dyDescent="0.25">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x14ac:dyDescent="0.25">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x14ac:dyDescent="0.25">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x14ac:dyDescent="0.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x14ac:dyDescent="0.25">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x14ac:dyDescent="0.25">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x14ac:dyDescent="0.25">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x14ac:dyDescent="0.25">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x14ac:dyDescent="0.25">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x14ac:dyDescent="0.25">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x14ac:dyDescent="0.25">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x14ac:dyDescent="0.25">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x14ac:dyDescent="0.25">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x14ac:dyDescent="0.2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x14ac:dyDescent="0.25">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x14ac:dyDescent="0.25">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x14ac:dyDescent="0.25">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x14ac:dyDescent="0.25">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x14ac:dyDescent="0.25">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x14ac:dyDescent="0.25">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x14ac:dyDescent="0.25">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x14ac:dyDescent="0.25">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x14ac:dyDescent="0.25">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x14ac:dyDescent="0.2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x14ac:dyDescent="0.25">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x14ac:dyDescent="0.25">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x14ac:dyDescent="0.25">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x14ac:dyDescent="0.25">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x14ac:dyDescent="0.25">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x14ac:dyDescent="0.25">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x14ac:dyDescent="0.25">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x14ac:dyDescent="0.25">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x14ac:dyDescent="0.25">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x14ac:dyDescent="0.2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x14ac:dyDescent="0.25">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x14ac:dyDescent="0.25">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x14ac:dyDescent="0.25">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x14ac:dyDescent="0.25">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x14ac:dyDescent="0.25">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x14ac:dyDescent="0.25">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x14ac:dyDescent="0.25">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x14ac:dyDescent="0.25">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x14ac:dyDescent="0.25">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x14ac:dyDescent="0.2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x14ac:dyDescent="0.25">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x14ac:dyDescent="0.25">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x14ac:dyDescent="0.25">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x14ac:dyDescent="0.25">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x14ac:dyDescent="0.25">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x14ac:dyDescent="0.25">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x14ac:dyDescent="0.25">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x14ac:dyDescent="0.25">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x14ac:dyDescent="0.25">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x14ac:dyDescent="0.2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x14ac:dyDescent="0.25">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x14ac:dyDescent="0.25">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x14ac:dyDescent="0.25">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x14ac:dyDescent="0.25">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x14ac:dyDescent="0.25">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x14ac:dyDescent="0.25">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x14ac:dyDescent="0.25">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x14ac:dyDescent="0.25">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x14ac:dyDescent="0.25">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x14ac:dyDescent="0.2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x14ac:dyDescent="0.25">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x14ac:dyDescent="0.25">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x14ac:dyDescent="0.25">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x14ac:dyDescent="0.25">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x14ac:dyDescent="0.25">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x14ac:dyDescent="0.25">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x14ac:dyDescent="0.25">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x14ac:dyDescent="0.25">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x14ac:dyDescent="0.25">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x14ac:dyDescent="0.2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x14ac:dyDescent="0.25">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x14ac:dyDescent="0.25">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x14ac:dyDescent="0.25">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x14ac:dyDescent="0.25">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x14ac:dyDescent="0.25">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x14ac:dyDescent="0.25">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x14ac:dyDescent="0.25">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x14ac:dyDescent="0.25">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x14ac:dyDescent="0.25">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x14ac:dyDescent="0.2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x14ac:dyDescent="0.25">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x14ac:dyDescent="0.25">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x14ac:dyDescent="0.25">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x14ac:dyDescent="0.25">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x14ac:dyDescent="0.25">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x14ac:dyDescent="0.25">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x14ac:dyDescent="0.25">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x14ac:dyDescent="0.25">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x14ac:dyDescent="0.25">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x14ac:dyDescent="0.2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x14ac:dyDescent="0.25">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x14ac:dyDescent="0.25">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x14ac:dyDescent="0.25">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x14ac:dyDescent="0.25">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x14ac:dyDescent="0.25">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x14ac:dyDescent="0.25">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x14ac:dyDescent="0.25">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x14ac:dyDescent="0.25">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x14ac:dyDescent="0.25">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x14ac:dyDescent="0.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x14ac:dyDescent="0.25">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x14ac:dyDescent="0.25">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x14ac:dyDescent="0.25">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x14ac:dyDescent="0.25">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x14ac:dyDescent="0.25">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x14ac:dyDescent="0.25">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x14ac:dyDescent="0.25">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x14ac:dyDescent="0.25">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x14ac:dyDescent="0.25">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x14ac:dyDescent="0.2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x14ac:dyDescent="0.25">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x14ac:dyDescent="0.25">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x14ac:dyDescent="0.25">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x14ac:dyDescent="0.25">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x14ac:dyDescent="0.25">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x14ac:dyDescent="0.25">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x14ac:dyDescent="0.25">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x14ac:dyDescent="0.25">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x14ac:dyDescent="0.25">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x14ac:dyDescent="0.2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x14ac:dyDescent="0.25">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x14ac:dyDescent="0.25">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x14ac:dyDescent="0.25">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x14ac:dyDescent="0.25">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x14ac:dyDescent="0.25">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x14ac:dyDescent="0.25">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x14ac:dyDescent="0.25">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x14ac:dyDescent="0.25">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x14ac:dyDescent="0.25">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x14ac:dyDescent="0.2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x14ac:dyDescent="0.25">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x14ac:dyDescent="0.25">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x14ac:dyDescent="0.25">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x14ac:dyDescent="0.25">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x14ac:dyDescent="0.25">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x14ac:dyDescent="0.25">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x14ac:dyDescent="0.25">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x14ac:dyDescent="0.25">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x14ac:dyDescent="0.25">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x14ac:dyDescent="0.2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x14ac:dyDescent="0.25">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x14ac:dyDescent="0.25">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x14ac:dyDescent="0.25">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x14ac:dyDescent="0.25">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x14ac:dyDescent="0.25">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x14ac:dyDescent="0.25">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x14ac:dyDescent="0.25">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x14ac:dyDescent="0.25">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x14ac:dyDescent="0.25">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x14ac:dyDescent="0.2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x14ac:dyDescent="0.25">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x14ac:dyDescent="0.25">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x14ac:dyDescent="0.25">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x14ac:dyDescent="0.25">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x14ac:dyDescent="0.25">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x14ac:dyDescent="0.25">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x14ac:dyDescent="0.25">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x14ac:dyDescent="0.25">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x14ac:dyDescent="0.25">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x14ac:dyDescent="0.2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x14ac:dyDescent="0.25">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x14ac:dyDescent="0.25">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x14ac:dyDescent="0.25">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x14ac:dyDescent="0.25">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x14ac:dyDescent="0.25">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x14ac:dyDescent="0.25">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x14ac:dyDescent="0.25">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x14ac:dyDescent="0.25">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x14ac:dyDescent="0.25">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x14ac:dyDescent="0.2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x14ac:dyDescent="0.25">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x14ac:dyDescent="0.25">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x14ac:dyDescent="0.25">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x14ac:dyDescent="0.25">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x14ac:dyDescent="0.25">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x14ac:dyDescent="0.25">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x14ac:dyDescent="0.25">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x14ac:dyDescent="0.25">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x14ac:dyDescent="0.25">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x14ac:dyDescent="0.2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x14ac:dyDescent="0.25">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x14ac:dyDescent="0.25">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x14ac:dyDescent="0.25">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x14ac:dyDescent="0.25">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x14ac:dyDescent="0.25">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x14ac:dyDescent="0.25">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x14ac:dyDescent="0.25">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x14ac:dyDescent="0.25">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x14ac:dyDescent="0.25">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x14ac:dyDescent="0.2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x14ac:dyDescent="0.25">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x14ac:dyDescent="0.25">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x14ac:dyDescent="0.25">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x14ac:dyDescent="0.25">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x14ac:dyDescent="0.25">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x14ac:dyDescent="0.25">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x14ac:dyDescent="0.25">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x14ac:dyDescent="0.25">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x14ac:dyDescent="0.25">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x14ac:dyDescent="0.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x14ac:dyDescent="0.25">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x14ac:dyDescent="0.25">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x14ac:dyDescent="0.25">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x14ac:dyDescent="0.25">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x14ac:dyDescent="0.25">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x14ac:dyDescent="0.25">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x14ac:dyDescent="0.25">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x14ac:dyDescent="0.25">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x14ac:dyDescent="0.25">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x14ac:dyDescent="0.2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x14ac:dyDescent="0.25">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x14ac:dyDescent="0.25">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x14ac:dyDescent="0.25">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x14ac:dyDescent="0.25">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x14ac:dyDescent="0.25">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x14ac:dyDescent="0.25">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x14ac:dyDescent="0.25">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x14ac:dyDescent="0.25">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x14ac:dyDescent="0.25">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x14ac:dyDescent="0.2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x14ac:dyDescent="0.25">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x14ac:dyDescent="0.25">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x14ac:dyDescent="0.25">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x14ac:dyDescent="0.25">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x14ac:dyDescent="0.25">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x14ac:dyDescent="0.25">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x14ac:dyDescent="0.25">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x14ac:dyDescent="0.25">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x14ac:dyDescent="0.25">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x14ac:dyDescent="0.2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x14ac:dyDescent="0.25">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x14ac:dyDescent="0.25">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x14ac:dyDescent="0.25">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x14ac:dyDescent="0.25">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x14ac:dyDescent="0.25">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x14ac:dyDescent="0.25">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x14ac:dyDescent="0.25">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x14ac:dyDescent="0.25">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x14ac:dyDescent="0.25">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x14ac:dyDescent="0.2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x14ac:dyDescent="0.25">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x14ac:dyDescent="0.25">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x14ac:dyDescent="0.25">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x14ac:dyDescent="0.25">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x14ac:dyDescent="0.25">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x14ac:dyDescent="0.25">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x14ac:dyDescent="0.25">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x14ac:dyDescent="0.25">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x14ac:dyDescent="0.25">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x14ac:dyDescent="0.2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x14ac:dyDescent="0.25">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x14ac:dyDescent="0.25">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x14ac:dyDescent="0.25">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x14ac:dyDescent="0.25">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x14ac:dyDescent="0.25">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x14ac:dyDescent="0.25">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x14ac:dyDescent="0.25">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x14ac:dyDescent="0.25">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x14ac:dyDescent="0.25">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x14ac:dyDescent="0.2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x14ac:dyDescent="0.25">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x14ac:dyDescent="0.25">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x14ac:dyDescent="0.25">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x14ac:dyDescent="0.25">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x14ac:dyDescent="0.25">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x14ac:dyDescent="0.25">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x14ac:dyDescent="0.25">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x14ac:dyDescent="0.25">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x14ac:dyDescent="0.25">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x14ac:dyDescent="0.2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spans="1:26" x14ac:dyDescent="0.25">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spans="1:26" x14ac:dyDescent="0.25">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spans="1:26" x14ac:dyDescent="0.25">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spans="1:26" x14ac:dyDescent="0.25">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spans="1:26" x14ac:dyDescent="0.25">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row r="1001" spans="1:26" x14ac:dyDescent="0.25">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row>
    <row r="1002" spans="1:26" x14ac:dyDescent="0.25">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row>
    <row r="1003" spans="1:26" x14ac:dyDescent="0.25">
      <c r="A1003" s="59"/>
      <c r="B1003" s="59"/>
      <c r="C1003" s="59"/>
      <c r="D1003" s="59"/>
      <c r="E1003" s="59"/>
      <c r="F1003" s="59"/>
      <c r="G1003" s="59"/>
      <c r="H1003" s="59"/>
      <c r="I1003" s="59"/>
      <c r="J1003" s="59"/>
      <c r="K1003" s="59"/>
      <c r="L1003" s="59"/>
      <c r="M1003" s="59"/>
      <c r="N1003" s="59"/>
      <c r="O1003" s="59"/>
      <c r="P1003" s="59"/>
      <c r="Q1003" s="59"/>
      <c r="R1003" s="59"/>
      <c r="S1003" s="59"/>
      <c r="T1003" s="59"/>
      <c r="U1003" s="59"/>
      <c r="V1003" s="59"/>
      <c r="W1003" s="59"/>
      <c r="X1003" s="59"/>
      <c r="Y1003" s="59"/>
      <c r="Z1003" s="59"/>
    </row>
    <row r="1004" spans="1:26" x14ac:dyDescent="0.25">
      <c r="A1004" s="59"/>
      <c r="B1004" s="59"/>
      <c r="C1004" s="59"/>
      <c r="D1004" s="59"/>
      <c r="E1004" s="59"/>
      <c r="F1004" s="59"/>
      <c r="G1004" s="59"/>
      <c r="H1004" s="59"/>
      <c r="I1004" s="59"/>
      <c r="J1004" s="59"/>
      <c r="K1004" s="59"/>
      <c r="L1004" s="59"/>
      <c r="M1004" s="59"/>
      <c r="N1004" s="59"/>
      <c r="O1004" s="59"/>
      <c r="P1004" s="59"/>
      <c r="Q1004" s="59"/>
      <c r="R1004" s="59"/>
      <c r="S1004" s="59"/>
      <c r="T1004" s="59"/>
      <c r="U1004" s="59"/>
      <c r="V1004" s="59"/>
      <c r="W1004" s="59"/>
      <c r="X1004" s="59"/>
      <c r="Y1004" s="59"/>
      <c r="Z1004" s="59"/>
    </row>
    <row r="1005" spans="1:26" x14ac:dyDescent="0.25">
      <c r="A1005" s="59"/>
      <c r="B1005" s="59"/>
      <c r="C1005" s="59"/>
      <c r="D1005" s="59"/>
      <c r="E1005" s="59"/>
      <c r="F1005" s="59"/>
      <c r="G1005" s="59"/>
      <c r="H1005" s="59"/>
      <c r="I1005" s="59"/>
      <c r="J1005" s="59"/>
      <c r="K1005" s="59"/>
      <c r="L1005" s="59"/>
      <c r="M1005" s="59"/>
      <c r="N1005" s="59"/>
      <c r="O1005" s="59"/>
      <c r="P1005" s="59"/>
      <c r="Q1005" s="59"/>
      <c r="R1005" s="59"/>
      <c r="S1005" s="59"/>
      <c r="T1005" s="59"/>
      <c r="U1005" s="59"/>
      <c r="V1005" s="59"/>
      <c r="W1005" s="59"/>
      <c r="X1005" s="59"/>
      <c r="Y1005" s="59"/>
      <c r="Z1005" s="59"/>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zoomScale="80" zoomScaleNormal="80" workbookViewId="0">
      <selection activeCell="B14" sqref="B14"/>
    </sheetView>
  </sheetViews>
  <sheetFormatPr baseColWidth="10" defaultRowHeight="15" x14ac:dyDescent="0.25"/>
  <cols>
    <col min="1" max="1" width="34.7109375" style="1" bestFit="1" customWidth="1"/>
    <col min="2" max="2" width="72.42578125" style="6" customWidth="1"/>
    <col min="3" max="3" width="80.5703125" style="6" customWidth="1"/>
    <col min="4" max="4" width="70.28515625" customWidth="1"/>
    <col min="5" max="5" width="88.28515625" customWidth="1"/>
    <col min="6" max="6" width="91.7109375" customWidth="1"/>
  </cols>
  <sheetData>
    <row r="1" spans="1:6" ht="15.75" x14ac:dyDescent="0.25">
      <c r="A1" s="2" t="s">
        <v>16</v>
      </c>
      <c r="B1" s="8" t="s">
        <v>17</v>
      </c>
      <c r="C1" s="8"/>
      <c r="D1" s="9"/>
    </row>
    <row r="2" spans="1:6" ht="15.6" x14ac:dyDescent="0.3">
      <c r="A2" s="2" t="s">
        <v>497</v>
      </c>
      <c r="B2" s="17" t="s">
        <v>674</v>
      </c>
      <c r="C2" s="17"/>
      <c r="D2" s="9"/>
    </row>
    <row r="3" spans="1:6" ht="15.6" x14ac:dyDescent="0.3">
      <c r="A3" s="2" t="s">
        <v>498</v>
      </c>
      <c r="B3" s="17" t="s">
        <v>675</v>
      </c>
      <c r="C3" s="17"/>
      <c r="D3" s="9"/>
    </row>
    <row r="4" spans="1:6" ht="15.6" x14ac:dyDescent="0.3">
      <c r="A4" s="2" t="s">
        <v>671</v>
      </c>
      <c r="B4" s="17" t="s">
        <v>673</v>
      </c>
      <c r="C4" s="17"/>
      <c r="D4" s="9"/>
    </row>
    <row r="5" spans="1:6" ht="28.9" x14ac:dyDescent="0.3">
      <c r="A5" s="2" t="s">
        <v>500</v>
      </c>
      <c r="B5" s="17" t="s">
        <v>672</v>
      </c>
      <c r="C5" s="17"/>
      <c r="D5" s="9"/>
    </row>
    <row r="6" spans="1:6" ht="15.75" x14ac:dyDescent="0.25">
      <c r="A6" s="2" t="s">
        <v>210</v>
      </c>
      <c r="B6" s="8" t="s">
        <v>202</v>
      </c>
      <c r="C6" s="8"/>
      <c r="D6" s="9"/>
    </row>
    <row r="7" spans="1:6" ht="15.6" x14ac:dyDescent="0.3">
      <c r="A7" s="2" t="s">
        <v>666</v>
      </c>
      <c r="B7" s="17"/>
      <c r="C7" s="17"/>
      <c r="D7" s="9"/>
    </row>
    <row r="8" spans="1:6" ht="30" customHeight="1" x14ac:dyDescent="0.25">
      <c r="A8" s="2" t="s">
        <v>3</v>
      </c>
      <c r="B8" s="8" t="s">
        <v>396</v>
      </c>
      <c r="C8" s="8"/>
      <c r="D8" s="9"/>
    </row>
    <row r="9" spans="1:6" ht="30" customHeight="1" x14ac:dyDescent="0.3">
      <c r="A9" s="2" t="s">
        <v>440</v>
      </c>
      <c r="B9" s="17" t="s">
        <v>496</v>
      </c>
      <c r="C9" s="17"/>
      <c r="D9" s="9"/>
    </row>
    <row r="10" spans="1:6" s="5" customFormat="1" ht="180" x14ac:dyDescent="0.25">
      <c r="A10" s="4" t="s">
        <v>389</v>
      </c>
      <c r="B10" s="10" t="s">
        <v>676</v>
      </c>
      <c r="C10" s="11" t="s">
        <v>397</v>
      </c>
      <c r="D10" s="11" t="s">
        <v>431</v>
      </c>
      <c r="E10" s="18" t="s">
        <v>484</v>
      </c>
      <c r="F10" s="18" t="s">
        <v>485</v>
      </c>
    </row>
    <row r="11" spans="1:6" ht="14.45" x14ac:dyDescent="0.3">
      <c r="A11" s="3" t="s">
        <v>228</v>
      </c>
      <c r="B11" s="8" t="s">
        <v>501</v>
      </c>
      <c r="C11" s="8"/>
      <c r="D11" s="9"/>
    </row>
    <row r="12" spans="1:6" s="5" customFormat="1" ht="90" x14ac:dyDescent="0.25">
      <c r="A12" s="4" t="s">
        <v>4</v>
      </c>
      <c r="B12" s="11" t="s">
        <v>429</v>
      </c>
      <c r="C12" s="14" t="s">
        <v>19</v>
      </c>
      <c r="D12" s="11" t="s">
        <v>432</v>
      </c>
    </row>
    <row r="13" spans="1:6" s="5" customFormat="1" ht="45" x14ac:dyDescent="0.25">
      <c r="A13" s="4" t="s">
        <v>5</v>
      </c>
      <c r="B13" s="16" t="s">
        <v>206</v>
      </c>
      <c r="C13" s="12" t="s">
        <v>8</v>
      </c>
      <c r="D13" s="15" t="s">
        <v>205</v>
      </c>
    </row>
    <row r="14" spans="1:6" s="5" customFormat="1" ht="60" x14ac:dyDescent="0.25">
      <c r="A14" s="4" t="s">
        <v>7</v>
      </c>
      <c r="B14" s="13" t="s">
        <v>207</v>
      </c>
      <c r="C14" s="12" t="s">
        <v>203</v>
      </c>
      <c r="D14" s="15" t="s">
        <v>204</v>
      </c>
    </row>
    <row r="15" spans="1:6" s="5" customFormat="1" ht="30" x14ac:dyDescent="0.25">
      <c r="A15" s="4" t="s">
        <v>6</v>
      </c>
      <c r="B15" s="18" t="s">
        <v>428</v>
      </c>
      <c r="C15" s="18" t="s">
        <v>211</v>
      </c>
      <c r="D15" s="17" t="s">
        <v>212</v>
      </c>
    </row>
    <row r="20" spans="1:2" x14ac:dyDescent="0.25">
      <c r="A20" s="7" t="s">
        <v>152</v>
      </c>
      <c r="B20" s="72"/>
    </row>
    <row r="21" spans="1:2" x14ac:dyDescent="0.25">
      <c r="A21" s="73" t="s">
        <v>153</v>
      </c>
      <c r="B21" s="74" t="s">
        <v>154</v>
      </c>
    </row>
    <row r="22" spans="1:2" x14ac:dyDescent="0.25">
      <c r="A22" s="73" t="s">
        <v>155</v>
      </c>
      <c r="B22" s="74" t="s">
        <v>156</v>
      </c>
    </row>
    <row r="23" spans="1:2" x14ac:dyDescent="0.25">
      <c r="A23" s="73" t="s">
        <v>157</v>
      </c>
      <c r="B23" s="74" t="s">
        <v>158</v>
      </c>
    </row>
    <row r="24" spans="1:2" x14ac:dyDescent="0.25">
      <c r="A24" s="73" t="s">
        <v>159</v>
      </c>
      <c r="B24" s="74" t="s">
        <v>160</v>
      </c>
    </row>
    <row r="25" spans="1:2" x14ac:dyDescent="0.25">
      <c r="A25" s="73" t="s">
        <v>161</v>
      </c>
      <c r="B25" s="74" t="s">
        <v>162</v>
      </c>
    </row>
    <row r="26" spans="1:2" x14ac:dyDescent="0.25">
      <c r="A26" s="73" t="s">
        <v>163</v>
      </c>
      <c r="B26" s="74" t="s">
        <v>164</v>
      </c>
    </row>
    <row r="27" spans="1:2" x14ac:dyDescent="0.25">
      <c r="A27" s="73" t="s">
        <v>165</v>
      </c>
      <c r="B27" s="74" t="s">
        <v>166</v>
      </c>
    </row>
    <row r="28" spans="1:2" x14ac:dyDescent="0.25">
      <c r="A28" s="73" t="s">
        <v>167</v>
      </c>
      <c r="B28" s="74" t="s">
        <v>168</v>
      </c>
    </row>
    <row r="29" spans="1:2" x14ac:dyDescent="0.25">
      <c r="A29" s="73" t="s">
        <v>169</v>
      </c>
      <c r="B29" s="74" t="s">
        <v>170</v>
      </c>
    </row>
    <row r="32" spans="1:2" x14ac:dyDescent="0.25">
      <c r="A32" s="7" t="s">
        <v>441</v>
      </c>
      <c r="B32" s="72"/>
    </row>
    <row r="33" spans="1:2" x14ac:dyDescent="0.25">
      <c r="A33" s="73">
        <v>1</v>
      </c>
      <c r="B33" s="111" t="s">
        <v>487</v>
      </c>
    </row>
    <row r="34" spans="1:2" x14ac:dyDescent="0.25">
      <c r="A34" s="73">
        <v>2</v>
      </c>
      <c r="B34" s="111" t="s">
        <v>488</v>
      </c>
    </row>
    <row r="35" spans="1:2" x14ac:dyDescent="0.25">
      <c r="A35" s="73">
        <v>3</v>
      </c>
      <c r="B35" s="111" t="s">
        <v>493</v>
      </c>
    </row>
    <row r="36" spans="1:2" x14ac:dyDescent="0.25">
      <c r="A36" s="73">
        <v>4</v>
      </c>
      <c r="B36" s="111" t="s">
        <v>489</v>
      </c>
    </row>
    <row r="37" spans="1:2" x14ac:dyDescent="0.25">
      <c r="A37" s="73">
        <v>5</v>
      </c>
      <c r="B37" s="111" t="s">
        <v>490</v>
      </c>
    </row>
    <row r="38" spans="1:2" x14ac:dyDescent="0.25">
      <c r="A38" s="73">
        <v>6</v>
      </c>
      <c r="B38" s="111" t="s">
        <v>491</v>
      </c>
    </row>
    <row r="39" spans="1:2" x14ac:dyDescent="0.25">
      <c r="A39" s="73">
        <v>7</v>
      </c>
      <c r="B39" s="111" t="s">
        <v>492</v>
      </c>
    </row>
  </sheetData>
  <hyperlinks>
    <hyperlink ref="C13" r:id="rId1"/>
    <hyperlink ref="C12" r:id="rId2"/>
    <hyperlink ref="C14" r:id="rId3"/>
    <hyperlink ref="D13" r:id="rId4" display="http://www.boe.es/buscar/act.php?id=BOE-A-2013-8565"/>
    <hyperlink ref="D14" r:id="rId5" tooltip="RD 570/2020" display="https://www.boe.es/eli/es/rd/2020/06/16/570/con"/>
  </hyperlinks>
  <pageMargins left="0.7" right="0.7" top="0.75" bottom="0.75" header="0.3" footer="0.3"/>
  <pageSetup paperSize="9" orientation="portrait" horizontalDpi="4294967293"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8"/>
  <sheetViews>
    <sheetView topLeftCell="A70" workbookViewId="0">
      <selection activeCell="A2" sqref="A2:S138"/>
    </sheetView>
  </sheetViews>
  <sheetFormatPr baseColWidth="10" defaultColWidth="11.5703125" defaultRowHeight="15" x14ac:dyDescent="0.25"/>
  <cols>
    <col min="1" max="1" width="41.85546875" style="56" customWidth="1"/>
    <col min="2" max="3" width="11.5703125" style="56"/>
    <col min="4" max="4" width="9.42578125" style="56" bestFit="1" customWidth="1"/>
    <col min="5" max="5" width="11.5703125" style="56"/>
    <col min="6" max="6" width="8.7109375" style="110" customWidth="1"/>
    <col min="7" max="7" width="10.5703125" style="41" bestFit="1" customWidth="1"/>
    <col min="8" max="8" width="34.5703125" style="41" bestFit="1" customWidth="1"/>
    <col min="9" max="9" width="14.140625" style="41" bestFit="1" customWidth="1"/>
    <col min="10" max="10" width="15.140625" style="41" bestFit="1" customWidth="1"/>
    <col min="11" max="11" width="15.5703125" style="41" customWidth="1"/>
    <col min="12" max="12" width="18.5703125" style="41" bestFit="1" customWidth="1"/>
    <col min="13" max="13" width="25.7109375" style="41" bestFit="1" customWidth="1"/>
    <col min="14" max="14" width="9.42578125" style="40" bestFit="1" customWidth="1"/>
    <col min="15" max="15" width="6.5703125" style="41" bestFit="1" customWidth="1"/>
    <col min="16" max="16" width="6.42578125" style="41" bestFit="1" customWidth="1"/>
    <col min="17" max="17" width="7.42578125" style="41" bestFit="1" customWidth="1"/>
    <col min="18" max="18" width="6.5703125" style="41" bestFit="1" customWidth="1"/>
    <col min="20" max="16384" width="11.5703125" style="56"/>
  </cols>
  <sheetData>
    <row r="1" spans="1:18" s="75" customFormat="1" ht="44.25" customHeight="1" x14ac:dyDescent="0.3">
      <c r="A1" s="123" t="s">
        <v>483</v>
      </c>
      <c r="B1" s="123" t="s">
        <v>497</v>
      </c>
      <c r="C1" s="78" t="s">
        <v>498</v>
      </c>
      <c r="D1" s="78" t="s">
        <v>499</v>
      </c>
      <c r="E1" s="78" t="s">
        <v>500</v>
      </c>
      <c r="F1" s="124" t="s">
        <v>440</v>
      </c>
      <c r="G1" s="76" t="s">
        <v>389</v>
      </c>
      <c r="H1" s="77" t="s">
        <v>666</v>
      </c>
      <c r="I1" s="77" t="s">
        <v>387</v>
      </c>
      <c r="J1" s="77" t="s">
        <v>96</v>
      </c>
      <c r="K1" s="77" t="s">
        <v>220</v>
      </c>
      <c r="L1" s="77" t="s">
        <v>218</v>
      </c>
      <c r="M1" s="77" t="s">
        <v>151</v>
      </c>
      <c r="N1" s="78" t="s">
        <v>441</v>
      </c>
      <c r="O1" s="76" t="s">
        <v>4</v>
      </c>
      <c r="P1" s="76" t="s">
        <v>5</v>
      </c>
      <c r="Q1" s="76" t="s">
        <v>7</v>
      </c>
      <c r="R1" s="76" t="s">
        <v>6</v>
      </c>
    </row>
    <row r="2" spans="1:18" s="58" customFormat="1" ht="12.75" customHeight="1" x14ac:dyDescent="0.25">
      <c r="A2" s="129" t="s">
        <v>482</v>
      </c>
      <c r="B2" s="126">
        <v>13</v>
      </c>
      <c r="C2" s="127">
        <v>1</v>
      </c>
      <c r="D2" s="128">
        <v>3</v>
      </c>
      <c r="E2" s="125">
        <v>13</v>
      </c>
      <c r="F2" s="79" t="s">
        <v>442</v>
      </c>
      <c r="G2" s="19" t="s">
        <v>209</v>
      </c>
      <c r="H2" s="80" t="s">
        <v>29</v>
      </c>
      <c r="I2" s="81" t="s">
        <v>222</v>
      </c>
      <c r="J2" s="82" t="s">
        <v>393</v>
      </c>
      <c r="K2" s="82" t="s">
        <v>269</v>
      </c>
      <c r="L2" s="82" t="s">
        <v>270</v>
      </c>
      <c r="M2" s="81" t="s">
        <v>165</v>
      </c>
      <c r="N2" s="83" t="s">
        <v>443</v>
      </c>
      <c r="O2" s="52">
        <v>0</v>
      </c>
      <c r="P2" s="52">
        <v>0</v>
      </c>
      <c r="Q2" s="52">
        <v>1</v>
      </c>
      <c r="R2" s="52">
        <v>0</v>
      </c>
    </row>
    <row r="3" spans="1:18" s="58" customFormat="1" ht="12.75" customHeight="1" x14ac:dyDescent="0.25">
      <c r="A3" s="129" t="s">
        <v>22</v>
      </c>
      <c r="B3" s="126">
        <v>11</v>
      </c>
      <c r="C3" s="127">
        <v>2.3094000000000001</v>
      </c>
      <c r="D3" s="128">
        <v>3</v>
      </c>
      <c r="E3" s="125">
        <v>28</v>
      </c>
      <c r="F3" s="79" t="s">
        <v>442</v>
      </c>
      <c r="G3" s="19" t="s">
        <v>209</v>
      </c>
      <c r="H3" s="84" t="s">
        <v>22</v>
      </c>
      <c r="I3" s="81" t="s">
        <v>80</v>
      </c>
      <c r="J3" s="39" t="s">
        <v>219</v>
      </c>
      <c r="K3" s="39" t="s">
        <v>274</v>
      </c>
      <c r="L3" s="39" t="s">
        <v>275</v>
      </c>
      <c r="M3" s="81" t="s">
        <v>165</v>
      </c>
      <c r="N3" s="43">
        <v>4</v>
      </c>
      <c r="O3" s="52">
        <v>0</v>
      </c>
      <c r="P3" s="52">
        <v>0</v>
      </c>
      <c r="Q3" s="52">
        <v>0</v>
      </c>
      <c r="R3" s="52">
        <v>0</v>
      </c>
    </row>
    <row r="4" spans="1:18" s="58" customFormat="1" ht="12.75" customHeight="1" x14ac:dyDescent="0.25">
      <c r="A4" s="129" t="s">
        <v>30</v>
      </c>
      <c r="B4" s="126">
        <v>12.25</v>
      </c>
      <c r="C4" s="127">
        <v>1.1086800000000001</v>
      </c>
      <c r="D4" s="128">
        <v>4</v>
      </c>
      <c r="E4" s="125">
        <v>21</v>
      </c>
      <c r="F4" s="79" t="s">
        <v>442</v>
      </c>
      <c r="G4" s="19" t="s">
        <v>209</v>
      </c>
      <c r="H4" s="84" t="s">
        <v>30</v>
      </c>
      <c r="I4" s="81" t="s">
        <v>222</v>
      </c>
      <c r="J4" s="82" t="s">
        <v>94</v>
      </c>
      <c r="K4" s="82" t="s">
        <v>276</v>
      </c>
      <c r="L4" s="82" t="s">
        <v>277</v>
      </c>
      <c r="M4" s="81" t="s">
        <v>180</v>
      </c>
      <c r="N4" s="85" t="s">
        <v>486</v>
      </c>
      <c r="O4" s="52">
        <v>0</v>
      </c>
      <c r="P4" s="52">
        <v>0</v>
      </c>
      <c r="Q4" s="52">
        <v>1</v>
      </c>
      <c r="R4" s="52">
        <v>1</v>
      </c>
    </row>
    <row r="5" spans="1:18" s="58" customFormat="1" ht="12.75" customHeight="1" x14ac:dyDescent="0.25">
      <c r="A5" s="129" t="s">
        <v>31</v>
      </c>
      <c r="B5" s="126">
        <v>14.2</v>
      </c>
      <c r="C5" s="127">
        <v>0.8</v>
      </c>
      <c r="D5" s="128">
        <v>5</v>
      </c>
      <c r="E5" s="125">
        <v>6</v>
      </c>
      <c r="F5" s="79" t="s">
        <v>442</v>
      </c>
      <c r="G5" s="19" t="s">
        <v>209</v>
      </c>
      <c r="H5" s="37" t="s">
        <v>31</v>
      </c>
      <c r="I5" s="81" t="s">
        <v>222</v>
      </c>
      <c r="J5" s="82" t="s">
        <v>94</v>
      </c>
      <c r="K5" s="82" t="s">
        <v>276</v>
      </c>
      <c r="L5" s="82" t="s">
        <v>277</v>
      </c>
      <c r="M5" s="81" t="s">
        <v>181</v>
      </c>
      <c r="N5" s="43">
        <v>4</v>
      </c>
      <c r="O5" s="52">
        <v>0</v>
      </c>
      <c r="P5" s="52">
        <v>0</v>
      </c>
      <c r="Q5" s="52">
        <v>1</v>
      </c>
      <c r="R5" s="52">
        <v>0</v>
      </c>
    </row>
    <row r="6" spans="1:18" s="58" customFormat="1" ht="12.75" customHeight="1" x14ac:dyDescent="0.25">
      <c r="A6" s="129" t="s">
        <v>52</v>
      </c>
      <c r="B6" s="126">
        <v>6</v>
      </c>
      <c r="C6" s="127">
        <v>2.2730299999999999</v>
      </c>
      <c r="D6" s="128">
        <v>4</v>
      </c>
      <c r="E6" s="125">
        <v>37</v>
      </c>
      <c r="F6" s="79" t="s">
        <v>442</v>
      </c>
      <c r="G6" s="19" t="s">
        <v>209</v>
      </c>
      <c r="H6" s="84" t="s">
        <v>52</v>
      </c>
      <c r="I6" s="36" t="s">
        <v>85</v>
      </c>
      <c r="J6" s="39" t="s">
        <v>86</v>
      </c>
      <c r="K6" s="36" t="s">
        <v>278</v>
      </c>
      <c r="L6" s="36" t="s">
        <v>279</v>
      </c>
      <c r="M6" s="81" t="s">
        <v>182</v>
      </c>
      <c r="N6" s="85" t="s">
        <v>443</v>
      </c>
      <c r="O6" s="52">
        <v>0</v>
      </c>
      <c r="P6" s="52">
        <v>0</v>
      </c>
      <c r="Q6" s="52">
        <v>1</v>
      </c>
      <c r="R6" s="52">
        <v>0</v>
      </c>
    </row>
    <row r="7" spans="1:18" s="58" customFormat="1" ht="12.75" customHeight="1" x14ac:dyDescent="0.25">
      <c r="A7" s="129" t="s">
        <v>53</v>
      </c>
      <c r="B7" s="126">
        <v>11</v>
      </c>
      <c r="C7" s="127">
        <v>2.0816699999999999</v>
      </c>
      <c r="D7" s="128">
        <v>3</v>
      </c>
      <c r="E7" s="125">
        <v>29</v>
      </c>
      <c r="F7" s="79" t="s">
        <v>442</v>
      </c>
      <c r="G7" s="19" t="s">
        <v>209</v>
      </c>
      <c r="H7" s="37" t="s">
        <v>53</v>
      </c>
      <c r="I7" s="36" t="s">
        <v>85</v>
      </c>
      <c r="J7" s="39" t="s">
        <v>86</v>
      </c>
      <c r="K7" s="36" t="s">
        <v>278</v>
      </c>
      <c r="L7" s="36" t="s">
        <v>279</v>
      </c>
      <c r="M7" s="81" t="s">
        <v>444</v>
      </c>
      <c r="N7" s="85" t="s">
        <v>443</v>
      </c>
      <c r="O7" s="52">
        <v>0</v>
      </c>
      <c r="P7" s="52">
        <v>0</v>
      </c>
      <c r="Q7" s="52">
        <v>1</v>
      </c>
      <c r="R7" s="52">
        <v>0</v>
      </c>
    </row>
    <row r="8" spans="1:18" s="58" customFormat="1" ht="12.75" customHeight="1" x14ac:dyDescent="0.25">
      <c r="A8" s="129" t="s">
        <v>54</v>
      </c>
      <c r="B8" s="126">
        <v>11</v>
      </c>
      <c r="C8" s="127">
        <v>0.57735000000000003</v>
      </c>
      <c r="D8" s="128">
        <v>3</v>
      </c>
      <c r="E8" s="125">
        <v>30</v>
      </c>
      <c r="F8" s="79" t="s">
        <v>442</v>
      </c>
      <c r="G8" s="19" t="s">
        <v>209</v>
      </c>
      <c r="H8" s="84" t="s">
        <v>54</v>
      </c>
      <c r="I8" s="36" t="s">
        <v>85</v>
      </c>
      <c r="J8" s="39" t="s">
        <v>86</v>
      </c>
      <c r="K8" s="39" t="s">
        <v>282</v>
      </c>
      <c r="L8" s="39" t="s">
        <v>283</v>
      </c>
      <c r="M8" s="81" t="s">
        <v>176</v>
      </c>
      <c r="N8" s="85" t="s">
        <v>443</v>
      </c>
      <c r="O8" s="52">
        <v>0</v>
      </c>
      <c r="P8" s="52">
        <v>0</v>
      </c>
      <c r="Q8" s="52">
        <v>1</v>
      </c>
      <c r="R8" s="52">
        <v>0</v>
      </c>
    </row>
    <row r="9" spans="1:18" s="58" customFormat="1" ht="12.75" customHeight="1" x14ac:dyDescent="0.25">
      <c r="A9" s="129" t="s">
        <v>33</v>
      </c>
      <c r="B9" s="126">
        <v>12.333299999999999</v>
      </c>
      <c r="C9" s="127">
        <v>0.88192000000000004</v>
      </c>
      <c r="D9" s="128">
        <v>3</v>
      </c>
      <c r="E9" s="125">
        <v>18</v>
      </c>
      <c r="F9" s="79" t="s">
        <v>442</v>
      </c>
      <c r="G9" s="19" t="s">
        <v>209</v>
      </c>
      <c r="H9" s="80" t="s">
        <v>33</v>
      </c>
      <c r="I9" s="81" t="s">
        <v>222</v>
      </c>
      <c r="J9" s="39" t="s">
        <v>93</v>
      </c>
      <c r="K9" s="39" t="s">
        <v>286</v>
      </c>
      <c r="L9" s="39" t="s">
        <v>287</v>
      </c>
      <c r="M9" s="81" t="s">
        <v>171</v>
      </c>
      <c r="N9" s="85" t="s">
        <v>445</v>
      </c>
      <c r="O9" s="52">
        <v>0</v>
      </c>
      <c r="P9" s="52">
        <v>0</v>
      </c>
      <c r="Q9" s="52">
        <v>1</v>
      </c>
      <c r="R9" s="52">
        <v>0</v>
      </c>
    </row>
    <row r="10" spans="1:18" s="58" customFormat="1" ht="12.75" customHeight="1" x14ac:dyDescent="0.25">
      <c r="A10" s="129" t="s">
        <v>446</v>
      </c>
      <c r="B10" s="126">
        <v>14</v>
      </c>
      <c r="C10" s="127">
        <v>0</v>
      </c>
      <c r="D10" s="128">
        <v>3</v>
      </c>
      <c r="E10" s="125">
        <v>7</v>
      </c>
      <c r="F10" s="79" t="s">
        <v>442</v>
      </c>
      <c r="G10" s="19" t="s">
        <v>209</v>
      </c>
      <c r="H10" s="80" t="s">
        <v>34</v>
      </c>
      <c r="I10" s="81" t="s">
        <v>222</v>
      </c>
      <c r="J10" s="82" t="s">
        <v>94</v>
      </c>
      <c r="K10" s="82" t="s">
        <v>276</v>
      </c>
      <c r="L10" s="82" t="s">
        <v>289</v>
      </c>
      <c r="M10" s="81" t="s">
        <v>161</v>
      </c>
      <c r="N10" s="85">
        <v>4</v>
      </c>
      <c r="O10" s="52">
        <v>0</v>
      </c>
      <c r="P10" s="52">
        <v>0</v>
      </c>
      <c r="Q10" s="52">
        <v>1</v>
      </c>
      <c r="R10" s="52">
        <v>1</v>
      </c>
    </row>
    <row r="11" spans="1:18" s="58" customFormat="1" ht="12.75" customHeight="1" x14ac:dyDescent="0.25">
      <c r="A11" s="129" t="s">
        <v>35</v>
      </c>
      <c r="B11" s="126">
        <v>10.5</v>
      </c>
      <c r="C11" s="127">
        <v>1.5545599999999999</v>
      </c>
      <c r="D11" s="128">
        <v>4</v>
      </c>
      <c r="E11" s="125">
        <v>34</v>
      </c>
      <c r="F11" s="79" t="s">
        <v>442</v>
      </c>
      <c r="G11" s="19" t="s">
        <v>209</v>
      </c>
      <c r="H11" s="80" t="s">
        <v>35</v>
      </c>
      <c r="I11" s="81" t="s">
        <v>222</v>
      </c>
      <c r="J11" s="82" t="s">
        <v>94</v>
      </c>
      <c r="K11" s="82" t="s">
        <v>276</v>
      </c>
      <c r="L11" s="82" t="s">
        <v>277</v>
      </c>
      <c r="M11" s="81" t="s">
        <v>195</v>
      </c>
      <c r="N11" s="43">
        <v>4</v>
      </c>
      <c r="O11" s="52">
        <v>0</v>
      </c>
      <c r="P11" s="52">
        <v>0</v>
      </c>
      <c r="Q11" s="52">
        <v>1</v>
      </c>
      <c r="R11" s="52">
        <v>0</v>
      </c>
    </row>
    <row r="12" spans="1:18" s="58" customFormat="1" ht="12.75" customHeight="1" x14ac:dyDescent="0.25">
      <c r="A12" s="129" t="s">
        <v>27</v>
      </c>
      <c r="B12" s="126">
        <v>11</v>
      </c>
      <c r="C12" s="127">
        <v>0.57735000000000003</v>
      </c>
      <c r="D12" s="128">
        <v>3</v>
      </c>
      <c r="E12" s="125">
        <v>31</v>
      </c>
      <c r="F12" s="79" t="s">
        <v>442</v>
      </c>
      <c r="G12" s="19" t="s">
        <v>209</v>
      </c>
      <c r="H12" s="37" t="s">
        <v>27</v>
      </c>
      <c r="I12" s="81" t="s">
        <v>81</v>
      </c>
      <c r="J12" s="39" t="s">
        <v>291</v>
      </c>
      <c r="K12" s="39" t="s">
        <v>292</v>
      </c>
      <c r="L12" s="39" t="s">
        <v>293</v>
      </c>
      <c r="M12" s="81" t="s">
        <v>177</v>
      </c>
      <c r="N12" s="85">
        <v>4</v>
      </c>
      <c r="O12" s="52">
        <v>0</v>
      </c>
      <c r="P12" s="52">
        <v>0</v>
      </c>
      <c r="Q12" s="52">
        <v>1</v>
      </c>
      <c r="R12" s="52">
        <v>1</v>
      </c>
    </row>
    <row r="13" spans="1:18" s="58" customFormat="1" ht="12.75" customHeight="1" x14ac:dyDescent="0.25">
      <c r="A13" s="129" t="s">
        <v>74</v>
      </c>
      <c r="B13" s="126">
        <v>12</v>
      </c>
      <c r="C13" s="127">
        <v>2.64575</v>
      </c>
      <c r="D13" s="128">
        <v>3</v>
      </c>
      <c r="E13" s="125">
        <v>22</v>
      </c>
      <c r="F13" s="86" t="s">
        <v>442</v>
      </c>
      <c r="G13" s="39" t="s">
        <v>208</v>
      </c>
      <c r="H13" s="37" t="s">
        <v>74</v>
      </c>
      <c r="I13" s="81" t="s">
        <v>225</v>
      </c>
      <c r="J13" s="39" t="s">
        <v>226</v>
      </c>
      <c r="K13" s="39" t="s">
        <v>227</v>
      </c>
      <c r="L13" s="39" t="s">
        <v>297</v>
      </c>
      <c r="M13" s="81" t="s">
        <v>163</v>
      </c>
      <c r="N13" s="43" t="s">
        <v>443</v>
      </c>
      <c r="O13" s="52">
        <v>0</v>
      </c>
      <c r="P13" s="52">
        <v>0</v>
      </c>
      <c r="Q13" s="52">
        <v>1</v>
      </c>
      <c r="R13" s="52">
        <v>0</v>
      </c>
    </row>
    <row r="14" spans="1:18" s="58" customFormat="1" ht="12.75" customHeight="1" x14ac:dyDescent="0.25">
      <c r="A14" s="129" t="s">
        <v>23</v>
      </c>
      <c r="B14" s="126">
        <v>14</v>
      </c>
      <c r="C14" s="127">
        <v>0.57735000000000003</v>
      </c>
      <c r="D14" s="128">
        <v>3</v>
      </c>
      <c r="E14" s="125">
        <v>8</v>
      </c>
      <c r="F14" s="79" t="s">
        <v>442</v>
      </c>
      <c r="G14" s="19" t="s">
        <v>209</v>
      </c>
      <c r="H14" s="37" t="s">
        <v>23</v>
      </c>
      <c r="I14" s="36" t="s">
        <v>80</v>
      </c>
      <c r="J14" s="36" t="s">
        <v>219</v>
      </c>
      <c r="K14" s="36" t="s">
        <v>299</v>
      </c>
      <c r="L14" s="36" t="s">
        <v>300</v>
      </c>
      <c r="M14" s="81" t="s">
        <v>444</v>
      </c>
      <c r="N14" s="43">
        <v>4</v>
      </c>
      <c r="O14" s="52">
        <v>0</v>
      </c>
      <c r="P14" s="52">
        <v>0</v>
      </c>
      <c r="Q14" s="52">
        <v>1</v>
      </c>
      <c r="R14" s="52">
        <v>0</v>
      </c>
    </row>
    <row r="15" spans="1:18" s="58" customFormat="1" ht="12.75" customHeight="1" x14ac:dyDescent="0.25">
      <c r="A15" s="129" t="s">
        <v>447</v>
      </c>
      <c r="B15" s="126">
        <v>10</v>
      </c>
      <c r="C15" s="127">
        <v>2</v>
      </c>
      <c r="D15" s="128">
        <v>3</v>
      </c>
      <c r="E15" s="125">
        <v>35</v>
      </c>
      <c r="F15" s="79" t="s">
        <v>442</v>
      </c>
      <c r="G15" s="19" t="s">
        <v>209</v>
      </c>
      <c r="H15" s="80" t="s">
        <v>55</v>
      </c>
      <c r="I15" s="36" t="s">
        <v>85</v>
      </c>
      <c r="J15" s="82" t="s">
        <v>87</v>
      </c>
      <c r="K15" s="82" t="s">
        <v>301</v>
      </c>
      <c r="L15" s="82" t="s">
        <v>302</v>
      </c>
      <c r="M15" s="81" t="s">
        <v>184</v>
      </c>
      <c r="N15" s="85">
        <v>5</v>
      </c>
      <c r="O15" s="52">
        <v>0</v>
      </c>
      <c r="P15" s="52">
        <v>0</v>
      </c>
      <c r="Q15" s="52">
        <v>1</v>
      </c>
      <c r="R15" s="52">
        <v>0</v>
      </c>
    </row>
    <row r="16" spans="1:18" s="58" customFormat="1" ht="12.75" customHeight="1" x14ac:dyDescent="0.25">
      <c r="A16" s="129" t="s">
        <v>36</v>
      </c>
      <c r="B16" s="126">
        <v>15.2</v>
      </c>
      <c r="C16" s="127">
        <v>0.73485</v>
      </c>
      <c r="D16" s="128">
        <v>5</v>
      </c>
      <c r="E16" s="125">
        <v>3</v>
      </c>
      <c r="F16" s="79" t="s">
        <v>442</v>
      </c>
      <c r="G16" s="19" t="s">
        <v>209</v>
      </c>
      <c r="H16" s="37" t="s">
        <v>36</v>
      </c>
      <c r="I16" s="81" t="s">
        <v>222</v>
      </c>
      <c r="J16" s="82" t="s">
        <v>82</v>
      </c>
      <c r="K16" s="82" t="s">
        <v>273</v>
      </c>
      <c r="L16" s="82" t="s">
        <v>303</v>
      </c>
      <c r="M16" s="81" t="s">
        <v>171</v>
      </c>
      <c r="N16" s="85" t="s">
        <v>448</v>
      </c>
      <c r="O16" s="52">
        <v>0</v>
      </c>
      <c r="P16" s="52">
        <v>0</v>
      </c>
      <c r="Q16" s="52">
        <v>1</v>
      </c>
      <c r="R16" s="52">
        <v>0</v>
      </c>
    </row>
    <row r="17" spans="1:18" s="58" customFormat="1" ht="12.75" customHeight="1" x14ac:dyDescent="0.25">
      <c r="A17" s="129" t="s">
        <v>75</v>
      </c>
      <c r="B17" s="126">
        <v>11.666700000000001</v>
      </c>
      <c r="C17" s="127">
        <v>1.2018500000000001</v>
      </c>
      <c r="D17" s="128">
        <v>3</v>
      </c>
      <c r="E17" s="125">
        <v>24</v>
      </c>
      <c r="F17" s="79" t="s">
        <v>442</v>
      </c>
      <c r="G17" s="19" t="s">
        <v>209</v>
      </c>
      <c r="H17" s="84" t="s">
        <v>75</v>
      </c>
      <c r="I17" s="81" t="s">
        <v>225</v>
      </c>
      <c r="J17" s="39" t="s">
        <v>226</v>
      </c>
      <c r="K17" s="39" t="s">
        <v>311</v>
      </c>
      <c r="L17" s="39" t="s">
        <v>312</v>
      </c>
      <c r="M17" s="81" t="s">
        <v>185</v>
      </c>
      <c r="N17" s="85" t="s">
        <v>443</v>
      </c>
      <c r="O17" s="52">
        <v>0</v>
      </c>
      <c r="P17" s="52">
        <v>0</v>
      </c>
      <c r="Q17" s="52">
        <v>1</v>
      </c>
      <c r="R17" s="52">
        <v>1</v>
      </c>
    </row>
    <row r="18" spans="1:18" s="58" customFormat="1" ht="12.75" customHeight="1" x14ac:dyDescent="0.25">
      <c r="A18" s="129" t="s">
        <v>57</v>
      </c>
      <c r="B18" s="126">
        <v>12.333299999999999</v>
      </c>
      <c r="C18" s="127">
        <v>1.2018500000000001</v>
      </c>
      <c r="D18" s="128">
        <v>3</v>
      </c>
      <c r="E18" s="125">
        <v>19</v>
      </c>
      <c r="F18" s="79" t="s">
        <v>442</v>
      </c>
      <c r="G18" s="19" t="s">
        <v>209</v>
      </c>
      <c r="H18" s="84" t="s">
        <v>57</v>
      </c>
      <c r="I18" s="36" t="s">
        <v>85</v>
      </c>
      <c r="J18" s="82" t="s">
        <v>87</v>
      </c>
      <c r="K18" s="82" t="s">
        <v>315</v>
      </c>
      <c r="L18" s="82" t="s">
        <v>316</v>
      </c>
      <c r="M18" s="81" t="s">
        <v>165</v>
      </c>
      <c r="N18" s="85">
        <v>3</v>
      </c>
      <c r="O18" s="52">
        <v>0</v>
      </c>
      <c r="P18" s="52">
        <v>1</v>
      </c>
      <c r="Q18" s="52">
        <v>1</v>
      </c>
      <c r="R18" s="52">
        <v>0</v>
      </c>
    </row>
    <row r="19" spans="1:18" s="58" customFormat="1" ht="12.75" customHeight="1" x14ac:dyDescent="0.25">
      <c r="A19" s="129" t="s">
        <v>76</v>
      </c>
      <c r="B19" s="126">
        <v>13.666700000000001</v>
      </c>
      <c r="C19" s="127">
        <v>2.6034199999999998</v>
      </c>
      <c r="D19" s="128">
        <v>3</v>
      </c>
      <c r="E19" s="125">
        <v>12</v>
      </c>
      <c r="F19" s="79" t="s">
        <v>442</v>
      </c>
      <c r="G19" s="19" t="s">
        <v>209</v>
      </c>
      <c r="H19" s="80" t="s">
        <v>76</v>
      </c>
      <c r="I19" s="81" t="s">
        <v>225</v>
      </c>
      <c r="J19" s="81" t="s">
        <v>226</v>
      </c>
      <c r="K19" s="81" t="s">
        <v>317</v>
      </c>
      <c r="L19" s="81" t="s">
        <v>318</v>
      </c>
      <c r="M19" s="88" t="s">
        <v>184</v>
      </c>
      <c r="N19" s="83" t="s">
        <v>443</v>
      </c>
      <c r="O19" s="52">
        <v>0</v>
      </c>
      <c r="P19" s="52">
        <v>0</v>
      </c>
      <c r="Q19" s="52">
        <v>1</v>
      </c>
      <c r="R19" s="52">
        <v>0</v>
      </c>
    </row>
    <row r="20" spans="1:18" s="58" customFormat="1" ht="12.75" customHeight="1" x14ac:dyDescent="0.25">
      <c r="A20" s="129" t="s">
        <v>59</v>
      </c>
      <c r="B20" s="126">
        <v>11.666700000000001</v>
      </c>
      <c r="C20" s="127">
        <v>0.33333000000000002</v>
      </c>
      <c r="D20" s="128">
        <v>3</v>
      </c>
      <c r="E20" s="125">
        <v>25</v>
      </c>
      <c r="F20" s="79" t="s">
        <v>442</v>
      </c>
      <c r="G20" s="19" t="s">
        <v>209</v>
      </c>
      <c r="H20" s="37" t="s">
        <v>59</v>
      </c>
      <c r="I20" s="36" t="s">
        <v>85</v>
      </c>
      <c r="J20" s="36" t="s">
        <v>86</v>
      </c>
      <c r="K20" s="36" t="s">
        <v>322</v>
      </c>
      <c r="L20" s="36" t="s">
        <v>323</v>
      </c>
      <c r="M20" s="81" t="s">
        <v>165</v>
      </c>
      <c r="N20" s="83" t="s">
        <v>443</v>
      </c>
      <c r="O20" s="52">
        <v>0</v>
      </c>
      <c r="P20" s="52">
        <v>0</v>
      </c>
      <c r="Q20" s="52">
        <v>1</v>
      </c>
      <c r="R20" s="52">
        <v>0</v>
      </c>
    </row>
    <row r="21" spans="1:18" s="58" customFormat="1" ht="12.75" customHeight="1" x14ac:dyDescent="0.25">
      <c r="A21" s="129" t="s">
        <v>20</v>
      </c>
      <c r="B21" s="126">
        <v>16</v>
      </c>
      <c r="C21" s="127">
        <v>0.70711000000000002</v>
      </c>
      <c r="D21" s="128">
        <v>4</v>
      </c>
      <c r="E21" s="125">
        <v>1</v>
      </c>
      <c r="F21" s="79" t="s">
        <v>442</v>
      </c>
      <c r="G21" s="19" t="s">
        <v>209</v>
      </c>
      <c r="H21" s="84" t="s">
        <v>20</v>
      </c>
      <c r="I21" s="81" t="s">
        <v>79</v>
      </c>
      <c r="J21" s="39" t="s">
        <v>216</v>
      </c>
      <c r="K21" s="39" t="s">
        <v>298</v>
      </c>
      <c r="L21" s="39" t="s">
        <v>327</v>
      </c>
      <c r="M21" s="81" t="s">
        <v>173</v>
      </c>
      <c r="N21" s="85" t="s">
        <v>443</v>
      </c>
      <c r="O21" s="52">
        <v>0</v>
      </c>
      <c r="P21" s="52">
        <v>1</v>
      </c>
      <c r="Q21" s="52">
        <v>1</v>
      </c>
      <c r="R21" s="52">
        <v>0</v>
      </c>
    </row>
    <row r="22" spans="1:18" s="58" customFormat="1" ht="12.75" customHeight="1" x14ac:dyDescent="0.25">
      <c r="A22" s="129" t="s">
        <v>60</v>
      </c>
      <c r="B22" s="126">
        <v>10</v>
      </c>
      <c r="C22" s="127">
        <v>1</v>
      </c>
      <c r="D22" s="128">
        <v>3</v>
      </c>
      <c r="E22" s="125">
        <v>36</v>
      </c>
      <c r="F22" s="86" t="s">
        <v>442</v>
      </c>
      <c r="G22" s="20" t="s">
        <v>208</v>
      </c>
      <c r="H22" s="46" t="s">
        <v>60</v>
      </c>
      <c r="I22" s="51" t="s">
        <v>85</v>
      </c>
      <c r="J22" s="20" t="s">
        <v>87</v>
      </c>
      <c r="K22" s="20" t="s">
        <v>331</v>
      </c>
      <c r="L22" s="20" t="s">
        <v>332</v>
      </c>
      <c r="M22" s="87" t="s">
        <v>163</v>
      </c>
      <c r="N22" s="43">
        <v>3</v>
      </c>
      <c r="O22" s="52">
        <v>0</v>
      </c>
      <c r="P22" s="52">
        <v>0</v>
      </c>
      <c r="Q22" s="52">
        <v>0</v>
      </c>
      <c r="R22" s="52">
        <v>0</v>
      </c>
    </row>
    <row r="23" spans="1:18" s="58" customFormat="1" ht="12.75" customHeight="1" x14ac:dyDescent="0.25">
      <c r="A23" s="129" t="s">
        <v>21</v>
      </c>
      <c r="B23" s="126">
        <v>14.666700000000001</v>
      </c>
      <c r="C23" s="127">
        <v>1.3333299999999999</v>
      </c>
      <c r="D23" s="128">
        <v>3</v>
      </c>
      <c r="E23" s="125">
        <v>4</v>
      </c>
      <c r="F23" s="86" t="s">
        <v>442</v>
      </c>
      <c r="G23" s="20" t="s">
        <v>208</v>
      </c>
      <c r="H23" s="89" t="s">
        <v>21</v>
      </c>
      <c r="I23" s="87" t="s">
        <v>79</v>
      </c>
      <c r="J23" s="90" t="s">
        <v>216</v>
      </c>
      <c r="K23" s="90" t="s">
        <v>298</v>
      </c>
      <c r="L23" s="90" t="s">
        <v>327</v>
      </c>
      <c r="M23" s="87" t="s">
        <v>161</v>
      </c>
      <c r="N23" s="23">
        <v>4</v>
      </c>
      <c r="O23" s="52">
        <v>0</v>
      </c>
      <c r="P23" s="52">
        <v>0</v>
      </c>
      <c r="Q23" s="52">
        <v>1</v>
      </c>
      <c r="R23" s="52">
        <v>0</v>
      </c>
    </row>
    <row r="24" spans="1:18" s="58" customFormat="1" ht="12.75" customHeight="1" x14ac:dyDescent="0.25">
      <c r="A24" s="129" t="s">
        <v>61</v>
      </c>
      <c r="B24" s="126">
        <v>13.75</v>
      </c>
      <c r="C24" s="127">
        <v>0.85390999999999995</v>
      </c>
      <c r="D24" s="128">
        <v>4</v>
      </c>
      <c r="E24" s="125">
        <v>11</v>
      </c>
      <c r="F24" s="79" t="s">
        <v>442</v>
      </c>
      <c r="G24" s="19" t="s">
        <v>209</v>
      </c>
      <c r="H24" s="84" t="s">
        <v>61</v>
      </c>
      <c r="I24" s="36" t="s">
        <v>85</v>
      </c>
      <c r="J24" s="36" t="s">
        <v>86</v>
      </c>
      <c r="K24" s="36" t="s">
        <v>337</v>
      </c>
      <c r="L24" s="36" t="s">
        <v>338</v>
      </c>
      <c r="M24" s="81" t="s">
        <v>188</v>
      </c>
      <c r="N24" s="85">
        <v>2</v>
      </c>
      <c r="O24" s="52">
        <v>0</v>
      </c>
      <c r="P24" s="52">
        <v>0</v>
      </c>
      <c r="Q24" s="52">
        <v>1</v>
      </c>
      <c r="R24" s="52">
        <v>0</v>
      </c>
    </row>
    <row r="25" spans="1:18" s="58" customFormat="1" ht="12.75" customHeight="1" x14ac:dyDescent="0.25">
      <c r="A25" s="129" t="s">
        <v>62</v>
      </c>
      <c r="B25" s="126">
        <v>16</v>
      </c>
      <c r="C25" s="127">
        <v>0.91286999999999996</v>
      </c>
      <c r="D25" s="128">
        <v>4</v>
      </c>
      <c r="E25" s="125">
        <v>2</v>
      </c>
      <c r="F25" s="79" t="s">
        <v>442</v>
      </c>
      <c r="G25" s="19" t="s">
        <v>209</v>
      </c>
      <c r="H25" s="84" t="s">
        <v>62</v>
      </c>
      <c r="I25" s="36" t="s">
        <v>85</v>
      </c>
      <c r="J25" s="36" t="s">
        <v>86</v>
      </c>
      <c r="K25" s="36" t="s">
        <v>337</v>
      </c>
      <c r="L25" s="36" t="s">
        <v>338</v>
      </c>
      <c r="M25" s="81" t="s">
        <v>189</v>
      </c>
      <c r="N25" s="85">
        <v>2</v>
      </c>
      <c r="O25" s="52">
        <v>0</v>
      </c>
      <c r="P25" s="52">
        <v>0</v>
      </c>
      <c r="Q25" s="52">
        <v>1</v>
      </c>
      <c r="R25" s="52">
        <v>0</v>
      </c>
    </row>
    <row r="26" spans="1:18" s="58" customFormat="1" ht="12.75" customHeight="1" x14ac:dyDescent="0.25">
      <c r="A26" s="129" t="s">
        <v>77</v>
      </c>
      <c r="B26" s="126">
        <v>14</v>
      </c>
      <c r="C26" s="127">
        <v>0.57735000000000003</v>
      </c>
      <c r="D26" s="128">
        <v>3</v>
      </c>
      <c r="E26" s="125">
        <v>9</v>
      </c>
      <c r="F26" s="79" t="s">
        <v>442</v>
      </c>
      <c r="G26" s="19" t="s">
        <v>209</v>
      </c>
      <c r="H26" s="84" t="s">
        <v>77</v>
      </c>
      <c r="I26" s="81" t="s">
        <v>225</v>
      </c>
      <c r="J26" s="39" t="s">
        <v>226</v>
      </c>
      <c r="K26" s="39" t="s">
        <v>227</v>
      </c>
      <c r="L26" s="39" t="s">
        <v>341</v>
      </c>
      <c r="M26" s="81" t="s">
        <v>161</v>
      </c>
      <c r="N26" s="85">
        <v>4</v>
      </c>
      <c r="O26" s="52">
        <v>0</v>
      </c>
      <c r="P26" s="52">
        <v>0</v>
      </c>
      <c r="Q26" s="52">
        <v>0</v>
      </c>
      <c r="R26" s="52">
        <v>0</v>
      </c>
    </row>
    <row r="27" spans="1:18" s="58" customFormat="1" ht="12.75" customHeight="1" x14ac:dyDescent="0.25">
      <c r="A27" s="129" t="s">
        <v>47</v>
      </c>
      <c r="B27" s="126">
        <v>14</v>
      </c>
      <c r="C27" s="127">
        <v>0.57735000000000003</v>
      </c>
      <c r="D27" s="128">
        <v>3</v>
      </c>
      <c r="E27" s="125">
        <v>10</v>
      </c>
      <c r="F27" s="79" t="s">
        <v>442</v>
      </c>
      <c r="G27" s="19" t="s">
        <v>209</v>
      </c>
      <c r="H27" s="80" t="s">
        <v>47</v>
      </c>
      <c r="I27" s="82" t="s">
        <v>83</v>
      </c>
      <c r="J27" s="82" t="s">
        <v>342</v>
      </c>
      <c r="K27" s="82" t="s">
        <v>343</v>
      </c>
      <c r="L27" s="82" t="s">
        <v>344</v>
      </c>
      <c r="M27" s="81" t="s">
        <v>171</v>
      </c>
      <c r="N27" s="85">
        <v>4</v>
      </c>
      <c r="O27" s="52">
        <v>0</v>
      </c>
      <c r="P27" s="52">
        <v>1</v>
      </c>
      <c r="Q27" s="52">
        <v>0</v>
      </c>
      <c r="R27" s="52">
        <v>0</v>
      </c>
    </row>
    <row r="28" spans="1:18" s="58" customFormat="1" ht="12.75" customHeight="1" x14ac:dyDescent="0.25">
      <c r="A28" s="129" t="s">
        <v>65</v>
      </c>
      <c r="B28" s="126">
        <v>12.666700000000001</v>
      </c>
      <c r="C28" s="127">
        <v>2.3333300000000001</v>
      </c>
      <c r="D28" s="128">
        <v>3</v>
      </c>
      <c r="E28" s="125">
        <v>15</v>
      </c>
      <c r="F28" s="79" t="s">
        <v>442</v>
      </c>
      <c r="G28" s="19" t="s">
        <v>209</v>
      </c>
      <c r="H28" s="80" t="s">
        <v>65</v>
      </c>
      <c r="I28" s="36" t="s">
        <v>85</v>
      </c>
      <c r="J28" s="82" t="s">
        <v>86</v>
      </c>
      <c r="K28" s="82" t="s">
        <v>319</v>
      </c>
      <c r="L28" s="82" t="s">
        <v>345</v>
      </c>
      <c r="M28" s="81" t="s">
        <v>190</v>
      </c>
      <c r="N28" s="85" t="s">
        <v>443</v>
      </c>
      <c r="O28" s="52">
        <v>0</v>
      </c>
      <c r="P28" s="52">
        <v>0</v>
      </c>
      <c r="Q28" s="52">
        <v>1</v>
      </c>
      <c r="R28" s="52">
        <v>1</v>
      </c>
    </row>
    <row r="29" spans="1:18" s="58" customFormat="1" ht="12.75" customHeight="1" x14ac:dyDescent="0.25">
      <c r="A29" s="129" t="s">
        <v>66</v>
      </c>
      <c r="B29" s="126">
        <v>11.333299999999999</v>
      </c>
      <c r="C29" s="127">
        <v>2.3333300000000001</v>
      </c>
      <c r="D29" s="128">
        <v>3</v>
      </c>
      <c r="E29" s="125">
        <v>27</v>
      </c>
      <c r="F29" s="79" t="s">
        <v>442</v>
      </c>
      <c r="G29" s="19" t="s">
        <v>209</v>
      </c>
      <c r="H29" s="37" t="s">
        <v>66</v>
      </c>
      <c r="I29" s="36" t="s">
        <v>85</v>
      </c>
      <c r="J29" s="82" t="s">
        <v>86</v>
      </c>
      <c r="K29" s="36" t="s">
        <v>319</v>
      </c>
      <c r="L29" s="36" t="s">
        <v>320</v>
      </c>
      <c r="M29" s="81" t="s">
        <v>165</v>
      </c>
      <c r="N29" s="85" t="s">
        <v>443</v>
      </c>
      <c r="O29" s="52">
        <v>0</v>
      </c>
      <c r="P29" s="52">
        <v>1</v>
      </c>
      <c r="Q29" s="52">
        <v>1</v>
      </c>
      <c r="R29" s="52">
        <v>0</v>
      </c>
    </row>
    <row r="30" spans="1:18" s="58" customFormat="1" ht="12.75" customHeight="1" x14ac:dyDescent="0.25">
      <c r="A30" s="129" t="s">
        <v>215</v>
      </c>
      <c r="B30" s="126">
        <v>12.666700000000001</v>
      </c>
      <c r="C30" s="127">
        <v>0.66666999999999998</v>
      </c>
      <c r="D30" s="128">
        <v>3</v>
      </c>
      <c r="E30" s="125">
        <v>16</v>
      </c>
      <c r="F30" s="79" t="s">
        <v>442</v>
      </c>
      <c r="G30" s="19" t="s">
        <v>209</v>
      </c>
      <c r="H30" s="91" t="s">
        <v>215</v>
      </c>
      <c r="I30" s="36" t="s">
        <v>85</v>
      </c>
      <c r="J30" s="82" t="s">
        <v>87</v>
      </c>
      <c r="K30" s="82" t="s">
        <v>281</v>
      </c>
      <c r="L30" s="82" t="s">
        <v>346</v>
      </c>
      <c r="M30" s="81" t="s">
        <v>189</v>
      </c>
      <c r="N30" s="43">
        <v>3</v>
      </c>
      <c r="O30" s="52">
        <v>0</v>
      </c>
      <c r="P30" s="52">
        <v>0</v>
      </c>
      <c r="Q30" s="52">
        <v>1</v>
      </c>
      <c r="R30" s="52">
        <v>1</v>
      </c>
    </row>
    <row r="31" spans="1:18" s="58" customFormat="1" ht="12.75" customHeight="1" x14ac:dyDescent="0.25">
      <c r="A31" s="129" t="s">
        <v>46</v>
      </c>
      <c r="B31" s="126">
        <v>12</v>
      </c>
      <c r="C31" s="127">
        <v>0.70711000000000002</v>
      </c>
      <c r="D31" s="128">
        <v>4</v>
      </c>
      <c r="E31" s="125">
        <v>23</v>
      </c>
      <c r="F31" s="79" t="s">
        <v>442</v>
      </c>
      <c r="G31" s="19" t="s">
        <v>209</v>
      </c>
      <c r="H31" s="84" t="s">
        <v>46</v>
      </c>
      <c r="I31" s="81" t="s">
        <v>222</v>
      </c>
      <c r="J31" s="82" t="s">
        <v>82</v>
      </c>
      <c r="K31" s="82" t="s">
        <v>273</v>
      </c>
      <c r="L31" s="82" t="s">
        <v>394</v>
      </c>
      <c r="M31" s="81" t="s">
        <v>182</v>
      </c>
      <c r="N31" s="85">
        <v>4</v>
      </c>
      <c r="O31" s="52">
        <v>0</v>
      </c>
      <c r="P31" s="52">
        <v>0</v>
      </c>
      <c r="Q31" s="52">
        <v>1</v>
      </c>
      <c r="R31" s="52">
        <v>0</v>
      </c>
    </row>
    <row r="32" spans="1:18" s="58" customFormat="1" ht="12.75" customHeight="1" x14ac:dyDescent="0.25">
      <c r="A32" s="129" t="s">
        <v>43</v>
      </c>
      <c r="B32" s="126">
        <v>12.666700000000001</v>
      </c>
      <c r="C32" s="127">
        <v>0.33333000000000002</v>
      </c>
      <c r="D32" s="128">
        <v>3</v>
      </c>
      <c r="E32" s="125">
        <v>17</v>
      </c>
      <c r="F32" s="86" t="s">
        <v>442</v>
      </c>
      <c r="G32" s="20" t="s">
        <v>208</v>
      </c>
      <c r="H32" s="92" t="s">
        <v>43</v>
      </c>
      <c r="I32" s="87" t="s">
        <v>222</v>
      </c>
      <c r="J32" s="90" t="s">
        <v>82</v>
      </c>
      <c r="K32" s="90" t="s">
        <v>273</v>
      </c>
      <c r="L32" s="90" t="s">
        <v>350</v>
      </c>
      <c r="M32" s="87" t="s">
        <v>191</v>
      </c>
      <c r="N32" s="43" t="s">
        <v>449</v>
      </c>
      <c r="O32" s="52">
        <v>0</v>
      </c>
      <c r="P32" s="52">
        <v>0</v>
      </c>
      <c r="Q32" s="52">
        <v>1</v>
      </c>
      <c r="R32" s="52">
        <v>0</v>
      </c>
    </row>
    <row r="33" spans="1:18" s="58" customFormat="1" ht="12.75" customHeight="1" x14ac:dyDescent="0.25">
      <c r="A33" s="129" t="s">
        <v>70</v>
      </c>
      <c r="B33" s="126">
        <v>14.5</v>
      </c>
      <c r="C33" s="127">
        <v>0.5</v>
      </c>
      <c r="D33" s="128">
        <v>4</v>
      </c>
      <c r="E33" s="125">
        <v>5</v>
      </c>
      <c r="F33" s="79" t="s">
        <v>442</v>
      </c>
      <c r="G33" s="19" t="s">
        <v>209</v>
      </c>
      <c r="H33" s="50" t="s">
        <v>70</v>
      </c>
      <c r="I33" s="51" t="s">
        <v>85</v>
      </c>
      <c r="J33" s="90" t="s">
        <v>86</v>
      </c>
      <c r="K33" s="90" t="s">
        <v>307</v>
      </c>
      <c r="L33" s="90" t="s">
        <v>328</v>
      </c>
      <c r="M33" s="87" t="s">
        <v>176</v>
      </c>
      <c r="N33" s="85">
        <v>2</v>
      </c>
      <c r="O33" s="52">
        <v>0</v>
      </c>
      <c r="P33" s="52">
        <v>0</v>
      </c>
      <c r="Q33" s="52">
        <v>1</v>
      </c>
      <c r="R33" s="52">
        <v>1</v>
      </c>
    </row>
    <row r="34" spans="1:18" s="58" customFormat="1" ht="12.75" customHeight="1" x14ac:dyDescent="0.25">
      <c r="A34" s="129" t="s">
        <v>78</v>
      </c>
      <c r="B34" s="126">
        <v>12.333299999999999</v>
      </c>
      <c r="C34" s="127">
        <v>2.02759</v>
      </c>
      <c r="D34" s="128">
        <v>3</v>
      </c>
      <c r="E34" s="125">
        <v>20</v>
      </c>
      <c r="F34" s="79" t="s">
        <v>442</v>
      </c>
      <c r="G34" s="19" t="s">
        <v>209</v>
      </c>
      <c r="H34" s="84" t="s">
        <v>78</v>
      </c>
      <c r="I34" s="81" t="s">
        <v>225</v>
      </c>
      <c r="J34" s="82" t="s">
        <v>226</v>
      </c>
      <c r="K34" s="82" t="s">
        <v>227</v>
      </c>
      <c r="L34" s="82" t="s">
        <v>297</v>
      </c>
      <c r="M34" s="35" t="s">
        <v>194</v>
      </c>
      <c r="N34" s="85" t="s">
        <v>443</v>
      </c>
      <c r="O34" s="52">
        <v>0</v>
      </c>
      <c r="P34" s="52">
        <v>0</v>
      </c>
      <c r="Q34" s="52">
        <v>1</v>
      </c>
      <c r="R34" s="52">
        <v>0</v>
      </c>
    </row>
    <row r="35" spans="1:18" s="58" customFormat="1" ht="12.75" customHeight="1" x14ac:dyDescent="0.25">
      <c r="A35" s="129" t="s">
        <v>450</v>
      </c>
      <c r="B35" s="126">
        <v>13</v>
      </c>
      <c r="C35" s="127">
        <v>1.3540099999999999</v>
      </c>
      <c r="D35" s="128">
        <v>4</v>
      </c>
      <c r="E35" s="125">
        <v>14</v>
      </c>
      <c r="F35" s="79" t="s">
        <v>442</v>
      </c>
      <c r="G35" s="19" t="s">
        <v>209</v>
      </c>
      <c r="H35" s="80" t="s">
        <v>388</v>
      </c>
      <c r="I35" s="81" t="s">
        <v>225</v>
      </c>
      <c r="J35" s="82" t="s">
        <v>226</v>
      </c>
      <c r="K35" s="82" t="s">
        <v>227</v>
      </c>
      <c r="L35" s="82" t="s">
        <v>297</v>
      </c>
      <c r="M35" s="81" t="s">
        <v>165</v>
      </c>
      <c r="N35" s="85">
        <v>4</v>
      </c>
      <c r="O35" s="52">
        <v>0</v>
      </c>
      <c r="P35" s="52">
        <v>0</v>
      </c>
      <c r="Q35" s="52">
        <v>1</v>
      </c>
      <c r="R35" s="52">
        <v>0</v>
      </c>
    </row>
    <row r="36" spans="1:18" s="58" customFormat="1" ht="12.75" customHeight="1" x14ac:dyDescent="0.25">
      <c r="A36" s="129" t="s">
        <v>25</v>
      </c>
      <c r="B36" s="126">
        <v>11</v>
      </c>
      <c r="C36" s="127">
        <v>1.58114</v>
      </c>
      <c r="D36" s="128">
        <v>4</v>
      </c>
      <c r="E36" s="125">
        <v>32</v>
      </c>
      <c r="F36" s="79" t="s">
        <v>442</v>
      </c>
      <c r="G36" s="19" t="s">
        <v>209</v>
      </c>
      <c r="H36" s="84" t="s">
        <v>25</v>
      </c>
      <c r="I36" s="81" t="s">
        <v>80</v>
      </c>
      <c r="J36" s="39" t="s">
        <v>219</v>
      </c>
      <c r="K36" s="39" t="s">
        <v>299</v>
      </c>
      <c r="L36" s="39" t="s">
        <v>355</v>
      </c>
      <c r="M36" s="81" t="s">
        <v>163</v>
      </c>
      <c r="N36" s="85">
        <v>3</v>
      </c>
      <c r="O36" s="52">
        <v>0</v>
      </c>
      <c r="P36" s="52">
        <v>0</v>
      </c>
      <c r="Q36" s="52">
        <v>1</v>
      </c>
      <c r="R36" s="52">
        <v>1</v>
      </c>
    </row>
    <row r="37" spans="1:18" s="58" customFormat="1" ht="12.75" customHeight="1" x14ac:dyDescent="0.25">
      <c r="A37" s="129" t="s">
        <v>26</v>
      </c>
      <c r="B37" s="126">
        <v>11</v>
      </c>
      <c r="C37" s="127">
        <v>1.7320500000000001</v>
      </c>
      <c r="D37" s="128">
        <v>3</v>
      </c>
      <c r="E37" s="125">
        <v>33</v>
      </c>
      <c r="F37" s="86" t="s">
        <v>442</v>
      </c>
      <c r="G37" s="39" t="s">
        <v>208</v>
      </c>
      <c r="H37" s="84" t="s">
        <v>26</v>
      </c>
      <c r="I37" s="81" t="s">
        <v>80</v>
      </c>
      <c r="J37" s="39" t="s">
        <v>219</v>
      </c>
      <c r="K37" s="39" t="s">
        <v>274</v>
      </c>
      <c r="L37" s="39" t="s">
        <v>358</v>
      </c>
      <c r="M37" s="81" t="s">
        <v>192</v>
      </c>
      <c r="N37" s="43">
        <v>4</v>
      </c>
      <c r="O37" s="52">
        <v>0</v>
      </c>
      <c r="P37" s="52">
        <v>0</v>
      </c>
      <c r="Q37" s="52">
        <v>0</v>
      </c>
      <c r="R37" s="52">
        <v>0</v>
      </c>
    </row>
    <row r="38" spans="1:18" s="58" customFormat="1" ht="12.75" customHeight="1" x14ac:dyDescent="0.25">
      <c r="A38" s="129" t="s">
        <v>451</v>
      </c>
      <c r="B38" s="126">
        <v>11.666700000000001</v>
      </c>
      <c r="C38" s="126">
        <v>1.3333299999999999</v>
      </c>
      <c r="D38" s="128">
        <v>3</v>
      </c>
      <c r="E38" s="125">
        <v>26</v>
      </c>
      <c r="F38" s="79" t="s">
        <v>442</v>
      </c>
      <c r="G38" s="19" t="s">
        <v>209</v>
      </c>
      <c r="H38" s="84" t="s">
        <v>213</v>
      </c>
      <c r="I38" s="81" t="s">
        <v>80</v>
      </c>
      <c r="J38" s="39" t="s">
        <v>219</v>
      </c>
      <c r="K38" s="39" t="s">
        <v>299</v>
      </c>
      <c r="L38" s="39" t="s">
        <v>359</v>
      </c>
      <c r="M38" s="36" t="s">
        <v>163</v>
      </c>
      <c r="N38" s="85">
        <v>4</v>
      </c>
      <c r="O38" s="52">
        <v>0</v>
      </c>
      <c r="P38" s="52">
        <v>0</v>
      </c>
      <c r="Q38" s="52">
        <v>1</v>
      </c>
      <c r="R38" s="52">
        <v>0</v>
      </c>
    </row>
    <row r="39" spans="1:18" s="58" customFormat="1" ht="12.75" customHeight="1" x14ac:dyDescent="0.25">
      <c r="A39" s="134" t="s">
        <v>48</v>
      </c>
      <c r="B39" s="131">
        <v>14</v>
      </c>
      <c r="C39" s="132">
        <v>0.31623000000000001</v>
      </c>
      <c r="D39" s="133">
        <v>5</v>
      </c>
      <c r="E39" s="130">
        <v>9</v>
      </c>
      <c r="F39" s="79" t="s">
        <v>452</v>
      </c>
      <c r="G39" s="19" t="s">
        <v>209</v>
      </c>
      <c r="H39" s="84" t="s">
        <v>48</v>
      </c>
      <c r="I39" s="81" t="s">
        <v>222</v>
      </c>
      <c r="J39" s="82" t="s">
        <v>84</v>
      </c>
      <c r="K39" s="82" t="s">
        <v>271</v>
      </c>
      <c r="L39" s="82" t="s">
        <v>272</v>
      </c>
      <c r="M39" s="81" t="s">
        <v>157</v>
      </c>
      <c r="N39" s="85" t="s">
        <v>443</v>
      </c>
      <c r="O39" s="52">
        <v>0</v>
      </c>
      <c r="P39" s="52">
        <v>1</v>
      </c>
      <c r="Q39" s="52">
        <v>1</v>
      </c>
      <c r="R39" s="52">
        <v>0</v>
      </c>
    </row>
    <row r="40" spans="1:18" s="58" customFormat="1" ht="12.75" customHeight="1" x14ac:dyDescent="0.25">
      <c r="A40" s="134" t="s">
        <v>49</v>
      </c>
      <c r="B40" s="131">
        <v>14.6</v>
      </c>
      <c r="C40" s="132">
        <v>1.02956</v>
      </c>
      <c r="D40" s="133">
        <v>5</v>
      </c>
      <c r="E40" s="130">
        <v>7</v>
      </c>
      <c r="F40" s="79" t="s">
        <v>452</v>
      </c>
      <c r="G40" s="19" t="s">
        <v>209</v>
      </c>
      <c r="H40" s="80" t="s">
        <v>49</v>
      </c>
      <c r="I40" s="81" t="s">
        <v>222</v>
      </c>
      <c r="J40" s="82" t="s">
        <v>84</v>
      </c>
      <c r="K40" s="82" t="s">
        <v>271</v>
      </c>
      <c r="L40" s="82" t="s">
        <v>272</v>
      </c>
      <c r="M40" s="81" t="s">
        <v>157</v>
      </c>
      <c r="N40" s="85" t="s">
        <v>443</v>
      </c>
      <c r="O40" s="52">
        <v>0</v>
      </c>
      <c r="P40" s="52">
        <v>0</v>
      </c>
      <c r="Q40" s="52">
        <v>1</v>
      </c>
      <c r="R40" s="52">
        <v>0</v>
      </c>
    </row>
    <row r="41" spans="1:18" s="58" customFormat="1" ht="12.75" customHeight="1" x14ac:dyDescent="0.25">
      <c r="A41" s="134" t="s">
        <v>72</v>
      </c>
      <c r="B41" s="131">
        <v>12.4</v>
      </c>
      <c r="C41" s="132">
        <v>0.87178</v>
      </c>
      <c r="D41" s="133">
        <v>5</v>
      </c>
      <c r="E41" s="130">
        <v>17</v>
      </c>
      <c r="F41" s="86" t="s">
        <v>452</v>
      </c>
      <c r="G41" s="42" t="s">
        <v>149</v>
      </c>
      <c r="H41" s="80" t="s">
        <v>72</v>
      </c>
      <c r="I41" s="81" t="s">
        <v>88</v>
      </c>
      <c r="J41" s="39" t="s">
        <v>223</v>
      </c>
      <c r="K41" s="39" t="s">
        <v>224</v>
      </c>
      <c r="L41" s="39" t="s">
        <v>280</v>
      </c>
      <c r="M41" s="81" t="s">
        <v>174</v>
      </c>
      <c r="N41" s="85">
        <v>3</v>
      </c>
      <c r="O41" s="93">
        <v>0</v>
      </c>
      <c r="P41" s="93">
        <v>0</v>
      </c>
      <c r="Q41" s="93">
        <v>1</v>
      </c>
      <c r="R41" s="93">
        <v>0</v>
      </c>
    </row>
    <row r="42" spans="1:18" s="58" customFormat="1" ht="12.75" customHeight="1" x14ac:dyDescent="0.25">
      <c r="A42" s="134" t="s">
        <v>453</v>
      </c>
      <c r="B42" s="131">
        <v>11.8</v>
      </c>
      <c r="C42" s="132">
        <v>2.0347</v>
      </c>
      <c r="D42" s="133">
        <v>5</v>
      </c>
      <c r="E42" s="130">
        <v>19</v>
      </c>
      <c r="F42" s="79" t="s">
        <v>452</v>
      </c>
      <c r="G42" s="19" t="s">
        <v>209</v>
      </c>
      <c r="H42" s="94" t="s">
        <v>32</v>
      </c>
      <c r="I42" s="81" t="s">
        <v>222</v>
      </c>
      <c r="J42" s="82" t="s">
        <v>95</v>
      </c>
      <c r="K42" s="82" t="s">
        <v>284</v>
      </c>
      <c r="L42" s="82" t="s">
        <v>285</v>
      </c>
      <c r="M42" s="81" t="s">
        <v>157</v>
      </c>
      <c r="N42" s="85">
        <v>3</v>
      </c>
      <c r="O42" s="52">
        <v>0</v>
      </c>
      <c r="P42" s="52">
        <v>0</v>
      </c>
      <c r="Q42" s="52">
        <v>0</v>
      </c>
      <c r="R42" s="52">
        <v>0</v>
      </c>
    </row>
    <row r="43" spans="1:18" s="58" customFormat="1" ht="12.75" customHeight="1" x14ac:dyDescent="0.25">
      <c r="A43" s="134" t="s">
        <v>37</v>
      </c>
      <c r="B43" s="131">
        <v>11.666700000000001</v>
      </c>
      <c r="C43" s="132">
        <v>1.81965</v>
      </c>
      <c r="D43" s="133">
        <v>6</v>
      </c>
      <c r="E43" s="130">
        <v>21</v>
      </c>
      <c r="F43" s="79" t="s">
        <v>452</v>
      </c>
      <c r="G43" s="19" t="s">
        <v>209</v>
      </c>
      <c r="H43" s="80" t="s">
        <v>37</v>
      </c>
      <c r="I43" s="81" t="s">
        <v>222</v>
      </c>
      <c r="J43" s="82" t="s">
        <v>82</v>
      </c>
      <c r="K43" s="81" t="s">
        <v>273</v>
      </c>
      <c r="L43" s="81" t="s">
        <v>304</v>
      </c>
      <c r="M43" s="81" t="s">
        <v>161</v>
      </c>
      <c r="N43" s="85">
        <v>1</v>
      </c>
      <c r="O43" s="52">
        <v>0</v>
      </c>
      <c r="P43" s="52">
        <v>1</v>
      </c>
      <c r="Q43" s="52">
        <v>1</v>
      </c>
      <c r="R43" s="52">
        <v>1</v>
      </c>
    </row>
    <row r="44" spans="1:18" s="58" customFormat="1" ht="12.75" customHeight="1" x14ac:dyDescent="0.25">
      <c r="A44" s="134" t="s">
        <v>38</v>
      </c>
      <c r="B44" s="131">
        <v>12</v>
      </c>
      <c r="C44" s="132">
        <v>1.4832399999999999</v>
      </c>
      <c r="D44" s="133">
        <v>5</v>
      </c>
      <c r="E44" s="130">
        <v>18</v>
      </c>
      <c r="F44" s="79" t="s">
        <v>452</v>
      </c>
      <c r="G44" s="19" t="s">
        <v>209</v>
      </c>
      <c r="H44" s="94" t="s">
        <v>38</v>
      </c>
      <c r="I44" s="81" t="s">
        <v>222</v>
      </c>
      <c r="J44" s="82" t="s">
        <v>82</v>
      </c>
      <c r="K44" s="81" t="s">
        <v>273</v>
      </c>
      <c r="L44" s="81" t="s">
        <v>304</v>
      </c>
      <c r="M44" s="81" t="s">
        <v>175</v>
      </c>
      <c r="N44" s="85" t="s">
        <v>454</v>
      </c>
      <c r="O44" s="52">
        <v>0</v>
      </c>
      <c r="P44" s="52">
        <v>0</v>
      </c>
      <c r="Q44" s="52">
        <v>1</v>
      </c>
      <c r="R44" s="52">
        <v>0</v>
      </c>
    </row>
    <row r="45" spans="1:18" s="58" customFormat="1" ht="12.75" customHeight="1" x14ac:dyDescent="0.25">
      <c r="A45" s="134" t="s">
        <v>56</v>
      </c>
      <c r="B45" s="131">
        <v>17</v>
      </c>
      <c r="C45" s="132">
        <v>0.36514999999999997</v>
      </c>
      <c r="D45" s="133">
        <v>6</v>
      </c>
      <c r="E45" s="130">
        <v>4</v>
      </c>
      <c r="F45" s="79" t="s">
        <v>452</v>
      </c>
      <c r="G45" s="19" t="s">
        <v>209</v>
      </c>
      <c r="H45" s="80" t="s">
        <v>56</v>
      </c>
      <c r="I45" s="36" t="s">
        <v>85</v>
      </c>
      <c r="J45" s="82" t="s">
        <v>86</v>
      </c>
      <c r="K45" s="82" t="s">
        <v>307</v>
      </c>
      <c r="L45" s="82" t="s">
        <v>308</v>
      </c>
      <c r="M45" s="81" t="s">
        <v>174</v>
      </c>
      <c r="N45" s="85" t="s">
        <v>455</v>
      </c>
      <c r="O45" s="52">
        <v>0</v>
      </c>
      <c r="P45" s="52">
        <v>1</v>
      </c>
      <c r="Q45" s="52">
        <v>1</v>
      </c>
      <c r="R45" s="52">
        <v>1</v>
      </c>
    </row>
    <row r="46" spans="1:18" s="58" customFormat="1" ht="12.75" customHeight="1" x14ac:dyDescent="0.25">
      <c r="A46" s="134" t="s">
        <v>28</v>
      </c>
      <c r="B46" s="131">
        <v>14</v>
      </c>
      <c r="C46" s="132">
        <v>0.77459999999999996</v>
      </c>
      <c r="D46" s="133">
        <v>5</v>
      </c>
      <c r="E46" s="130">
        <v>10</v>
      </c>
      <c r="F46" s="79" t="s">
        <v>452</v>
      </c>
      <c r="G46" s="19" t="s">
        <v>209</v>
      </c>
      <c r="H46" s="80" t="s">
        <v>28</v>
      </c>
      <c r="I46" s="82" t="s">
        <v>81</v>
      </c>
      <c r="J46" s="82" t="s">
        <v>291</v>
      </c>
      <c r="K46" s="82" t="s">
        <v>309</v>
      </c>
      <c r="L46" s="82" t="s">
        <v>310</v>
      </c>
      <c r="M46" s="81" t="s">
        <v>177</v>
      </c>
      <c r="N46" s="85">
        <v>4</v>
      </c>
      <c r="O46" s="52">
        <v>0</v>
      </c>
      <c r="P46" s="52">
        <v>1</v>
      </c>
      <c r="Q46" s="52">
        <v>1</v>
      </c>
      <c r="R46" s="52">
        <v>0</v>
      </c>
    </row>
    <row r="47" spans="1:18" s="58" customFormat="1" ht="12.75" customHeight="1" x14ac:dyDescent="0.25">
      <c r="A47" s="134" t="s">
        <v>119</v>
      </c>
      <c r="B47" s="131">
        <v>13.166700000000001</v>
      </c>
      <c r="C47" s="132">
        <v>0.47726000000000002</v>
      </c>
      <c r="D47" s="133">
        <v>6</v>
      </c>
      <c r="E47" s="130">
        <v>11</v>
      </c>
      <c r="F47" s="79" t="s">
        <v>452</v>
      </c>
      <c r="G47" s="19" t="s">
        <v>209</v>
      </c>
      <c r="H47" s="80" t="s">
        <v>119</v>
      </c>
      <c r="I47" s="82" t="s">
        <v>81</v>
      </c>
      <c r="J47" s="82" t="s">
        <v>291</v>
      </c>
      <c r="K47" s="82" t="s">
        <v>313</v>
      </c>
      <c r="L47" s="82" t="s">
        <v>314</v>
      </c>
      <c r="M47" s="81" t="s">
        <v>157</v>
      </c>
      <c r="N47" s="85">
        <v>3</v>
      </c>
      <c r="O47" s="52">
        <v>0</v>
      </c>
      <c r="P47" s="52">
        <v>0</v>
      </c>
      <c r="Q47" s="52">
        <v>1</v>
      </c>
      <c r="R47" s="52">
        <v>0</v>
      </c>
    </row>
    <row r="48" spans="1:18" s="58" customFormat="1" ht="12.75" customHeight="1" x14ac:dyDescent="0.25">
      <c r="A48" s="134" t="s">
        <v>58</v>
      </c>
      <c r="B48" s="131">
        <v>17.333300000000001</v>
      </c>
      <c r="C48" s="132">
        <v>0.33333000000000002</v>
      </c>
      <c r="D48" s="133">
        <v>6</v>
      </c>
      <c r="E48" s="130">
        <v>2</v>
      </c>
      <c r="F48" s="79" t="s">
        <v>452</v>
      </c>
      <c r="G48" s="19" t="s">
        <v>209</v>
      </c>
      <c r="H48" s="84" t="s">
        <v>58</v>
      </c>
      <c r="I48" s="36" t="s">
        <v>85</v>
      </c>
      <c r="J48" s="82" t="s">
        <v>86</v>
      </c>
      <c r="K48" s="82" t="s">
        <v>319</v>
      </c>
      <c r="L48" s="36" t="s">
        <v>320</v>
      </c>
      <c r="M48" s="81" t="s">
        <v>178</v>
      </c>
      <c r="N48" s="83" t="s">
        <v>443</v>
      </c>
      <c r="O48" s="52">
        <v>0</v>
      </c>
      <c r="P48" s="52">
        <v>1</v>
      </c>
      <c r="Q48" s="52">
        <v>1</v>
      </c>
      <c r="R48" s="52">
        <v>1</v>
      </c>
    </row>
    <row r="49" spans="1:18" s="58" customFormat="1" ht="12.75" customHeight="1" x14ac:dyDescent="0.25">
      <c r="A49" s="134" t="s">
        <v>39</v>
      </c>
      <c r="B49" s="131">
        <v>12.75</v>
      </c>
      <c r="C49" s="132">
        <v>0.94647999999999999</v>
      </c>
      <c r="D49" s="133">
        <v>4</v>
      </c>
      <c r="E49" s="130">
        <v>13</v>
      </c>
      <c r="F49" s="79" t="s">
        <v>452</v>
      </c>
      <c r="G49" s="19" t="s">
        <v>209</v>
      </c>
      <c r="H49" s="80" t="s">
        <v>39</v>
      </c>
      <c r="I49" s="81" t="s">
        <v>222</v>
      </c>
      <c r="J49" s="82" t="s">
        <v>82</v>
      </c>
      <c r="K49" s="82" t="s">
        <v>273</v>
      </c>
      <c r="L49" s="82" t="s">
        <v>324</v>
      </c>
      <c r="M49" s="81" t="s">
        <v>159</v>
      </c>
      <c r="N49" s="83">
        <v>4</v>
      </c>
      <c r="O49" s="52">
        <v>1</v>
      </c>
      <c r="P49" s="52">
        <v>1</v>
      </c>
      <c r="Q49" s="52">
        <v>0</v>
      </c>
      <c r="R49" s="52">
        <v>1</v>
      </c>
    </row>
    <row r="50" spans="1:18" s="57" customFormat="1" ht="12.75" customHeight="1" x14ac:dyDescent="0.25">
      <c r="A50" s="134" t="s">
        <v>40</v>
      </c>
      <c r="B50" s="131">
        <v>12.5</v>
      </c>
      <c r="C50" s="132">
        <v>1.3354200000000001</v>
      </c>
      <c r="D50" s="133">
        <v>6</v>
      </c>
      <c r="E50" s="130">
        <v>15</v>
      </c>
      <c r="F50" s="79" t="s">
        <v>452</v>
      </c>
      <c r="G50" s="19" t="s">
        <v>209</v>
      </c>
      <c r="H50" s="84" t="s">
        <v>40</v>
      </c>
      <c r="I50" s="81" t="s">
        <v>222</v>
      </c>
      <c r="J50" s="82" t="s">
        <v>82</v>
      </c>
      <c r="K50" s="82" t="s">
        <v>273</v>
      </c>
      <c r="L50" s="82" t="s">
        <v>325</v>
      </c>
      <c r="M50" s="81" t="s">
        <v>165</v>
      </c>
      <c r="N50" s="85" t="s">
        <v>454</v>
      </c>
      <c r="O50" s="52">
        <v>1</v>
      </c>
      <c r="P50" s="52">
        <v>1</v>
      </c>
      <c r="Q50" s="52">
        <v>1</v>
      </c>
      <c r="R50" s="52">
        <v>1</v>
      </c>
    </row>
    <row r="51" spans="1:18" s="58" customFormat="1" ht="12.75" customHeight="1" x14ac:dyDescent="0.25">
      <c r="A51" s="134" t="s">
        <v>73</v>
      </c>
      <c r="B51" s="131">
        <v>10.6</v>
      </c>
      <c r="C51" s="132">
        <v>1.1225000000000001</v>
      </c>
      <c r="D51" s="133">
        <v>5</v>
      </c>
      <c r="E51" s="130">
        <v>24</v>
      </c>
      <c r="F51" s="79" t="s">
        <v>452</v>
      </c>
      <c r="G51" s="19" t="s">
        <v>209</v>
      </c>
      <c r="H51" s="84" t="s">
        <v>73</v>
      </c>
      <c r="I51" s="95" t="s">
        <v>89</v>
      </c>
      <c r="J51" s="39" t="s">
        <v>90</v>
      </c>
      <c r="K51" s="39" t="s">
        <v>329</v>
      </c>
      <c r="L51" s="39" t="s">
        <v>330</v>
      </c>
      <c r="M51" s="81" t="s">
        <v>186</v>
      </c>
      <c r="N51" s="85">
        <v>3</v>
      </c>
      <c r="O51" s="52">
        <v>0</v>
      </c>
      <c r="P51" s="52">
        <v>0</v>
      </c>
      <c r="Q51" s="52">
        <v>1</v>
      </c>
      <c r="R51" s="52">
        <v>0</v>
      </c>
    </row>
    <row r="52" spans="1:18" s="58" customFormat="1" ht="12.75" customHeight="1" x14ac:dyDescent="0.25">
      <c r="A52" s="134" t="s">
        <v>41</v>
      </c>
      <c r="B52" s="131">
        <v>14.75</v>
      </c>
      <c r="C52" s="132">
        <v>1.03078</v>
      </c>
      <c r="D52" s="133">
        <v>4</v>
      </c>
      <c r="E52" s="130">
        <v>6</v>
      </c>
      <c r="F52" s="79" t="s">
        <v>452</v>
      </c>
      <c r="G52" s="19" t="s">
        <v>209</v>
      </c>
      <c r="H52" s="84" t="s">
        <v>41</v>
      </c>
      <c r="I52" s="81" t="s">
        <v>222</v>
      </c>
      <c r="J52" s="82" t="s">
        <v>393</v>
      </c>
      <c r="K52" s="82" t="s">
        <v>335</v>
      </c>
      <c r="L52" s="82" t="s">
        <v>336</v>
      </c>
      <c r="M52" s="81" t="s">
        <v>187</v>
      </c>
      <c r="N52" s="83">
        <v>3</v>
      </c>
      <c r="O52" s="52">
        <v>0</v>
      </c>
      <c r="P52" s="52">
        <v>0</v>
      </c>
      <c r="Q52" s="52">
        <v>0</v>
      </c>
      <c r="R52" s="52">
        <v>0</v>
      </c>
    </row>
    <row r="53" spans="1:18" s="58" customFormat="1" ht="12.75" customHeight="1" x14ac:dyDescent="0.25">
      <c r="A53" s="134" t="s">
        <v>456</v>
      </c>
      <c r="B53" s="131">
        <v>11.7143</v>
      </c>
      <c r="C53" s="132">
        <v>0.96889999999999998</v>
      </c>
      <c r="D53" s="133">
        <v>6</v>
      </c>
      <c r="E53" s="130">
        <v>20</v>
      </c>
      <c r="F53" s="79" t="s">
        <v>452</v>
      </c>
      <c r="G53" s="19" t="s">
        <v>209</v>
      </c>
      <c r="H53" s="80" t="s">
        <v>63</v>
      </c>
      <c r="I53" s="36" t="s">
        <v>85</v>
      </c>
      <c r="J53" s="82" t="s">
        <v>87</v>
      </c>
      <c r="K53" s="82" t="s">
        <v>305</v>
      </c>
      <c r="L53" s="82" t="s">
        <v>339</v>
      </c>
      <c r="M53" s="81" t="s">
        <v>167</v>
      </c>
      <c r="N53" s="85" t="s">
        <v>454</v>
      </c>
      <c r="O53" s="52">
        <v>0</v>
      </c>
      <c r="P53" s="52">
        <v>1</v>
      </c>
      <c r="Q53" s="52">
        <v>0</v>
      </c>
      <c r="R53" s="52">
        <v>0</v>
      </c>
    </row>
    <row r="54" spans="1:18" s="58" customFormat="1" ht="12.75" customHeight="1" x14ac:dyDescent="0.25">
      <c r="A54" s="134" t="s">
        <v>64</v>
      </c>
      <c r="B54" s="131">
        <v>9.75</v>
      </c>
      <c r="C54" s="132">
        <v>0.90139000000000002</v>
      </c>
      <c r="D54" s="133">
        <v>6</v>
      </c>
      <c r="E54" s="130">
        <v>25</v>
      </c>
      <c r="F54" s="79" t="s">
        <v>452</v>
      </c>
      <c r="G54" s="19" t="s">
        <v>209</v>
      </c>
      <c r="H54" s="80" t="s">
        <v>64</v>
      </c>
      <c r="I54" s="36" t="s">
        <v>85</v>
      </c>
      <c r="J54" s="82" t="s">
        <v>87</v>
      </c>
      <c r="K54" s="36" t="s">
        <v>385</v>
      </c>
      <c r="L54" s="82" t="s">
        <v>340</v>
      </c>
      <c r="M54" s="81" t="s">
        <v>457</v>
      </c>
      <c r="N54" s="85">
        <v>2</v>
      </c>
      <c r="O54" s="52">
        <v>0</v>
      </c>
      <c r="P54" s="52">
        <v>1</v>
      </c>
      <c r="Q54" s="52">
        <v>0</v>
      </c>
      <c r="R54" s="52">
        <v>0</v>
      </c>
    </row>
    <row r="55" spans="1:18" s="58" customFormat="1" ht="12.75" customHeight="1" x14ac:dyDescent="0.25">
      <c r="A55" s="134" t="s">
        <v>42</v>
      </c>
      <c r="B55" s="131">
        <v>17.333300000000001</v>
      </c>
      <c r="C55" s="132">
        <v>0.98882999999999999</v>
      </c>
      <c r="D55" s="133">
        <v>6</v>
      </c>
      <c r="E55" s="130">
        <v>3</v>
      </c>
      <c r="F55" s="79" t="s">
        <v>452</v>
      </c>
      <c r="G55" s="19" t="s">
        <v>209</v>
      </c>
      <c r="H55" s="84" t="s">
        <v>42</v>
      </c>
      <c r="I55" s="81" t="s">
        <v>222</v>
      </c>
      <c r="J55" s="82" t="s">
        <v>82</v>
      </c>
      <c r="K55" s="82" t="s">
        <v>273</v>
      </c>
      <c r="L55" s="82" t="s">
        <v>288</v>
      </c>
      <c r="M55" s="81" t="s">
        <v>165</v>
      </c>
      <c r="N55" s="85" t="s">
        <v>454</v>
      </c>
      <c r="O55" s="52">
        <v>1</v>
      </c>
      <c r="P55" s="52">
        <v>1</v>
      </c>
      <c r="Q55" s="52">
        <v>0</v>
      </c>
      <c r="R55" s="52">
        <v>1</v>
      </c>
    </row>
    <row r="56" spans="1:18" s="58" customFormat="1" ht="12.75" customHeight="1" x14ac:dyDescent="0.25">
      <c r="A56" s="134" t="s">
        <v>24</v>
      </c>
      <c r="B56" s="131">
        <v>11.25</v>
      </c>
      <c r="C56" s="132">
        <v>0.85390999999999995</v>
      </c>
      <c r="D56" s="133">
        <v>4</v>
      </c>
      <c r="E56" s="130">
        <v>23</v>
      </c>
      <c r="F56" s="86" t="s">
        <v>452</v>
      </c>
      <c r="G56" s="20" t="s">
        <v>208</v>
      </c>
      <c r="H56" s="92" t="s">
        <v>24</v>
      </c>
      <c r="I56" s="87" t="s">
        <v>80</v>
      </c>
      <c r="J56" s="20" t="s">
        <v>347</v>
      </c>
      <c r="K56" s="20" t="s">
        <v>348</v>
      </c>
      <c r="L56" s="20" t="s">
        <v>349</v>
      </c>
      <c r="M56" s="87" t="s">
        <v>165</v>
      </c>
      <c r="N56" s="43">
        <v>4</v>
      </c>
      <c r="O56" s="52">
        <v>0</v>
      </c>
      <c r="P56" s="52">
        <v>0</v>
      </c>
      <c r="Q56" s="52">
        <v>0</v>
      </c>
      <c r="R56" s="52">
        <v>0</v>
      </c>
    </row>
    <row r="57" spans="1:18" s="58" customFormat="1" ht="12.75" customHeight="1" x14ac:dyDescent="0.25">
      <c r="A57" s="134" t="s">
        <v>67</v>
      </c>
      <c r="B57" s="131">
        <v>11.5</v>
      </c>
      <c r="C57" s="132">
        <v>1.2041599999999999</v>
      </c>
      <c r="D57" s="133">
        <v>6</v>
      </c>
      <c r="E57" s="130">
        <v>22</v>
      </c>
      <c r="F57" s="79" t="s">
        <v>452</v>
      </c>
      <c r="G57" s="19" t="s">
        <v>209</v>
      </c>
      <c r="H57" s="92" t="s">
        <v>67</v>
      </c>
      <c r="I57" s="51" t="s">
        <v>85</v>
      </c>
      <c r="J57" s="90" t="s">
        <v>87</v>
      </c>
      <c r="K57" s="90" t="s">
        <v>290</v>
      </c>
      <c r="L57" s="90" t="s">
        <v>351</v>
      </c>
      <c r="M57" s="87" t="s">
        <v>165</v>
      </c>
      <c r="N57" s="85" t="s">
        <v>458</v>
      </c>
      <c r="O57" s="52">
        <v>0</v>
      </c>
      <c r="P57" s="52">
        <v>0</v>
      </c>
      <c r="Q57" s="52">
        <v>1</v>
      </c>
      <c r="R57" s="52">
        <v>0</v>
      </c>
    </row>
    <row r="58" spans="1:18" s="58" customFormat="1" ht="12.75" customHeight="1" x14ac:dyDescent="0.25">
      <c r="A58" s="134" t="s">
        <v>68</v>
      </c>
      <c r="B58" s="131">
        <v>14.833299999999999</v>
      </c>
      <c r="C58" s="132">
        <v>0.30731999999999998</v>
      </c>
      <c r="D58" s="133">
        <v>6</v>
      </c>
      <c r="E58" s="130">
        <v>5</v>
      </c>
      <c r="F58" s="79" t="s">
        <v>452</v>
      </c>
      <c r="G58" s="19" t="s">
        <v>209</v>
      </c>
      <c r="H58" s="46" t="s">
        <v>68</v>
      </c>
      <c r="I58" s="51" t="s">
        <v>85</v>
      </c>
      <c r="J58" s="90" t="s">
        <v>87</v>
      </c>
      <c r="K58" s="20" t="s">
        <v>305</v>
      </c>
      <c r="L58" s="90" t="s">
        <v>339</v>
      </c>
      <c r="M58" s="87" t="s">
        <v>167</v>
      </c>
      <c r="N58" s="85" t="s">
        <v>454</v>
      </c>
      <c r="O58" s="52">
        <v>0</v>
      </c>
      <c r="P58" s="52">
        <v>1</v>
      </c>
      <c r="Q58" s="52">
        <v>1</v>
      </c>
      <c r="R58" s="52">
        <v>1</v>
      </c>
    </row>
    <row r="59" spans="1:18" s="58" customFormat="1" ht="12.75" customHeight="1" x14ac:dyDescent="0.25">
      <c r="A59" s="134" t="s">
        <v>459</v>
      </c>
      <c r="B59" s="131">
        <v>12.8</v>
      </c>
      <c r="C59" s="132">
        <v>0.66332000000000002</v>
      </c>
      <c r="D59" s="133">
        <v>5</v>
      </c>
      <c r="E59" s="130">
        <v>12</v>
      </c>
      <c r="F59" s="79" t="s">
        <v>452</v>
      </c>
      <c r="G59" s="19" t="s">
        <v>209</v>
      </c>
      <c r="H59" s="84" t="s">
        <v>69</v>
      </c>
      <c r="I59" s="36" t="s">
        <v>85</v>
      </c>
      <c r="J59" s="82" t="s">
        <v>87</v>
      </c>
      <c r="K59" s="82" t="s">
        <v>315</v>
      </c>
      <c r="L59" s="82" t="s">
        <v>352</v>
      </c>
      <c r="M59" s="81" t="s">
        <v>161</v>
      </c>
      <c r="N59" s="85" t="s">
        <v>443</v>
      </c>
      <c r="O59" s="52">
        <v>0</v>
      </c>
      <c r="P59" s="52">
        <v>1</v>
      </c>
      <c r="Q59" s="52">
        <v>1</v>
      </c>
      <c r="R59" s="52">
        <v>1</v>
      </c>
    </row>
    <row r="60" spans="1:18" s="58" customFormat="1" ht="12.75" customHeight="1" x14ac:dyDescent="0.25">
      <c r="A60" s="134" t="s">
        <v>44</v>
      </c>
      <c r="B60" s="131">
        <v>18.666699999999999</v>
      </c>
      <c r="C60" s="132">
        <v>0.61463999999999996</v>
      </c>
      <c r="D60" s="133">
        <v>6</v>
      </c>
      <c r="E60" s="130">
        <v>1</v>
      </c>
      <c r="F60" s="79" t="s">
        <v>452</v>
      </c>
      <c r="G60" s="19" t="s">
        <v>209</v>
      </c>
      <c r="H60" s="80" t="s">
        <v>44</v>
      </c>
      <c r="I60" s="81" t="s">
        <v>222</v>
      </c>
      <c r="J60" s="82" t="s">
        <v>82</v>
      </c>
      <c r="K60" s="82" t="s">
        <v>273</v>
      </c>
      <c r="L60" s="82" t="s">
        <v>325</v>
      </c>
      <c r="M60" s="81" t="s">
        <v>165</v>
      </c>
      <c r="N60" s="85" t="s">
        <v>454</v>
      </c>
      <c r="O60" s="52">
        <v>1</v>
      </c>
      <c r="P60" s="52">
        <v>1</v>
      </c>
      <c r="Q60" s="52">
        <v>1</v>
      </c>
      <c r="R60" s="52">
        <v>1</v>
      </c>
    </row>
    <row r="61" spans="1:18" s="57" customFormat="1" ht="12.75" customHeight="1" x14ac:dyDescent="0.25">
      <c r="A61" s="134" t="s">
        <v>45</v>
      </c>
      <c r="B61" s="131">
        <v>12.5</v>
      </c>
      <c r="C61" s="132">
        <v>1.7559400000000001</v>
      </c>
      <c r="D61" s="133">
        <v>4</v>
      </c>
      <c r="E61" s="130">
        <v>16</v>
      </c>
      <c r="F61" s="79" t="s">
        <v>452</v>
      </c>
      <c r="G61" s="19" t="s">
        <v>209</v>
      </c>
      <c r="H61" s="96" t="s">
        <v>45</v>
      </c>
      <c r="I61" s="33" t="s">
        <v>222</v>
      </c>
      <c r="J61" s="97" t="s">
        <v>82</v>
      </c>
      <c r="K61" s="97" t="s">
        <v>273</v>
      </c>
      <c r="L61" s="97" t="s">
        <v>321</v>
      </c>
      <c r="M61" s="33" t="s">
        <v>171</v>
      </c>
      <c r="N61" s="85">
        <v>4</v>
      </c>
      <c r="O61" s="98">
        <v>0</v>
      </c>
      <c r="P61" s="98">
        <v>1</v>
      </c>
      <c r="Q61" s="98">
        <v>0</v>
      </c>
      <c r="R61" s="98">
        <v>0</v>
      </c>
    </row>
    <row r="62" spans="1:18" s="57" customFormat="1" ht="12.75" customHeight="1" x14ac:dyDescent="0.25">
      <c r="A62" s="134" t="s">
        <v>71</v>
      </c>
      <c r="B62" s="131">
        <v>12.6</v>
      </c>
      <c r="C62" s="132">
        <v>1.1225000000000001</v>
      </c>
      <c r="D62" s="133">
        <v>5</v>
      </c>
      <c r="E62" s="130">
        <v>14</v>
      </c>
      <c r="F62" s="79" t="s">
        <v>452</v>
      </c>
      <c r="G62" s="19" t="s">
        <v>209</v>
      </c>
      <c r="H62" s="99" t="s">
        <v>71</v>
      </c>
      <c r="I62" s="100" t="s">
        <v>85</v>
      </c>
      <c r="J62" s="97" t="s">
        <v>86</v>
      </c>
      <c r="K62" s="97" t="s">
        <v>333</v>
      </c>
      <c r="L62" s="97" t="s">
        <v>334</v>
      </c>
      <c r="M62" s="33" t="s">
        <v>174</v>
      </c>
      <c r="N62" s="85">
        <v>3</v>
      </c>
      <c r="O62" s="98">
        <v>0</v>
      </c>
      <c r="P62" s="98">
        <v>1</v>
      </c>
      <c r="Q62" s="98">
        <v>0</v>
      </c>
      <c r="R62" s="98">
        <v>1</v>
      </c>
    </row>
    <row r="63" spans="1:18" s="57" customFormat="1" ht="12.75" customHeight="1" x14ac:dyDescent="0.25">
      <c r="A63" s="134" t="s">
        <v>460</v>
      </c>
      <c r="B63" s="131">
        <v>8</v>
      </c>
      <c r="C63" s="132">
        <v>1.7320500000000001</v>
      </c>
      <c r="D63" s="133">
        <v>5</v>
      </c>
      <c r="E63" s="130">
        <v>27</v>
      </c>
      <c r="F63" s="79" t="s">
        <v>452</v>
      </c>
      <c r="G63" s="19" t="s">
        <v>209</v>
      </c>
      <c r="H63" s="96" t="s">
        <v>50</v>
      </c>
      <c r="I63" s="33" t="s">
        <v>222</v>
      </c>
      <c r="J63" s="42" t="s">
        <v>84</v>
      </c>
      <c r="K63" s="42" t="s">
        <v>353</v>
      </c>
      <c r="L63" s="42" t="s">
        <v>354</v>
      </c>
      <c r="M63" s="33" t="s">
        <v>165</v>
      </c>
      <c r="N63" s="85">
        <v>3</v>
      </c>
      <c r="O63" s="98">
        <v>0</v>
      </c>
      <c r="P63" s="98">
        <v>0</v>
      </c>
      <c r="Q63" s="98">
        <v>1</v>
      </c>
      <c r="R63" s="98">
        <v>0</v>
      </c>
    </row>
    <row r="64" spans="1:18" s="57" customFormat="1" ht="12.75" customHeight="1" x14ac:dyDescent="0.25">
      <c r="A64" s="134" t="s">
        <v>461</v>
      </c>
      <c r="B64" s="131">
        <v>9.4</v>
      </c>
      <c r="C64" s="132">
        <v>1.4696899999999999</v>
      </c>
      <c r="D64" s="133">
        <v>5</v>
      </c>
      <c r="E64" s="130">
        <v>26</v>
      </c>
      <c r="F64" s="79" t="s">
        <v>452</v>
      </c>
      <c r="G64" s="19" t="s">
        <v>209</v>
      </c>
      <c r="H64" s="99" t="s">
        <v>51</v>
      </c>
      <c r="I64" s="33" t="s">
        <v>222</v>
      </c>
      <c r="J64" s="42" t="s">
        <v>84</v>
      </c>
      <c r="K64" s="42" t="s">
        <v>356</v>
      </c>
      <c r="L64" s="42" t="s">
        <v>357</v>
      </c>
      <c r="M64" s="33" t="s">
        <v>165</v>
      </c>
      <c r="N64" s="85">
        <v>4</v>
      </c>
      <c r="O64" s="98">
        <v>0</v>
      </c>
      <c r="P64" s="98">
        <v>0</v>
      </c>
      <c r="Q64" s="98">
        <v>1</v>
      </c>
      <c r="R64" s="98">
        <v>0</v>
      </c>
    </row>
    <row r="65" spans="1:18" s="57" customFormat="1" ht="12.75" customHeight="1" x14ac:dyDescent="0.25">
      <c r="A65" s="134" t="s">
        <v>670</v>
      </c>
      <c r="B65" s="131">
        <v>14.2</v>
      </c>
      <c r="C65" s="132">
        <v>0.8</v>
      </c>
      <c r="D65" s="133">
        <v>5</v>
      </c>
      <c r="E65" s="130">
        <v>8</v>
      </c>
      <c r="F65" s="79" t="s">
        <v>452</v>
      </c>
      <c r="G65" s="19" t="s">
        <v>209</v>
      </c>
      <c r="H65" s="96" t="s">
        <v>667</v>
      </c>
      <c r="I65" s="100" t="s">
        <v>85</v>
      </c>
      <c r="J65" s="97" t="s">
        <v>86</v>
      </c>
      <c r="K65" s="97" t="s">
        <v>282</v>
      </c>
      <c r="L65" s="97" t="s">
        <v>283</v>
      </c>
      <c r="M65" s="33" t="s">
        <v>161</v>
      </c>
      <c r="N65" s="85" t="s">
        <v>443</v>
      </c>
      <c r="O65" s="98">
        <v>1</v>
      </c>
      <c r="P65" s="98">
        <v>1</v>
      </c>
      <c r="Q65" s="98">
        <v>1</v>
      </c>
      <c r="R65" s="98">
        <v>0</v>
      </c>
    </row>
    <row r="66" spans="1:18" s="57" customFormat="1" ht="12.75" customHeight="1" x14ac:dyDescent="0.25">
      <c r="A66" s="101" t="s">
        <v>114</v>
      </c>
      <c r="B66" s="112">
        <v>11.666700000000001</v>
      </c>
      <c r="C66" s="113">
        <v>1.4529700000000001</v>
      </c>
      <c r="D66" s="114">
        <v>3</v>
      </c>
      <c r="E66" s="115">
        <v>16</v>
      </c>
      <c r="F66" s="79" t="s">
        <v>150</v>
      </c>
      <c r="G66" s="19" t="s">
        <v>209</v>
      </c>
      <c r="H66" s="102" t="s">
        <v>114</v>
      </c>
      <c r="I66" s="42" t="s">
        <v>386</v>
      </c>
      <c r="J66" s="42" t="s">
        <v>361</v>
      </c>
      <c r="K66" s="33" t="s">
        <v>378</v>
      </c>
      <c r="L66" s="33" t="s">
        <v>379</v>
      </c>
      <c r="M66" s="33" t="s">
        <v>167</v>
      </c>
      <c r="N66" s="43" t="s">
        <v>462</v>
      </c>
      <c r="O66" s="54">
        <v>1</v>
      </c>
      <c r="P66" s="54">
        <v>1</v>
      </c>
      <c r="Q66" s="54">
        <v>1</v>
      </c>
      <c r="R66" s="54">
        <v>1</v>
      </c>
    </row>
    <row r="67" spans="1:18" s="57" customFormat="1" ht="12.75" customHeight="1" x14ac:dyDescent="0.25">
      <c r="A67" s="101" t="s">
        <v>463</v>
      </c>
      <c r="B67" s="112">
        <v>16.25</v>
      </c>
      <c r="C67" s="113">
        <v>0.25</v>
      </c>
      <c r="D67" s="114">
        <v>4</v>
      </c>
      <c r="E67" s="115">
        <v>2</v>
      </c>
      <c r="F67" s="79" t="s">
        <v>150</v>
      </c>
      <c r="G67" s="19" t="s">
        <v>209</v>
      </c>
      <c r="H67" s="103" t="s">
        <v>214</v>
      </c>
      <c r="I67" s="104" t="s">
        <v>118</v>
      </c>
      <c r="J67" s="22" t="s">
        <v>360</v>
      </c>
      <c r="K67" s="22" t="s">
        <v>383</v>
      </c>
      <c r="L67" s="22" t="s">
        <v>217</v>
      </c>
      <c r="M67" s="24" t="s">
        <v>171</v>
      </c>
      <c r="N67" s="85">
        <v>3</v>
      </c>
      <c r="O67" s="98">
        <v>0</v>
      </c>
      <c r="P67" s="98">
        <v>1</v>
      </c>
      <c r="Q67" s="98">
        <v>0</v>
      </c>
      <c r="R67" s="98">
        <v>1</v>
      </c>
    </row>
    <row r="68" spans="1:18" s="57" customFormat="1" ht="12.75" customHeight="1" x14ac:dyDescent="0.25">
      <c r="A68" s="101" t="s">
        <v>97</v>
      </c>
      <c r="B68" s="112">
        <v>11.2</v>
      </c>
      <c r="C68" s="113">
        <v>1.68523</v>
      </c>
      <c r="D68" s="114">
        <v>5</v>
      </c>
      <c r="E68" s="115">
        <v>17</v>
      </c>
      <c r="F68" s="79" t="s">
        <v>150</v>
      </c>
      <c r="G68" s="19" t="s">
        <v>209</v>
      </c>
      <c r="H68" s="21" t="s">
        <v>97</v>
      </c>
      <c r="I68" s="22" t="s">
        <v>386</v>
      </c>
      <c r="J68" s="22" t="s">
        <v>361</v>
      </c>
      <c r="K68" s="22" t="s">
        <v>362</v>
      </c>
      <c r="L68" s="22" t="s">
        <v>363</v>
      </c>
      <c r="M68" s="24" t="s">
        <v>172</v>
      </c>
      <c r="N68" s="85">
        <v>2</v>
      </c>
      <c r="O68" s="54">
        <v>0</v>
      </c>
      <c r="P68" s="54">
        <v>0</v>
      </c>
      <c r="Q68" s="54">
        <v>0</v>
      </c>
      <c r="R68" s="54">
        <v>0</v>
      </c>
    </row>
    <row r="69" spans="1:18" s="57" customFormat="1" ht="12.75" customHeight="1" x14ac:dyDescent="0.25">
      <c r="A69" s="101" t="s">
        <v>115</v>
      </c>
      <c r="B69" s="112">
        <v>12.333299999999999</v>
      </c>
      <c r="C69" s="113">
        <v>0.88192000000000004</v>
      </c>
      <c r="D69" s="114">
        <v>3</v>
      </c>
      <c r="E69" s="115">
        <v>13</v>
      </c>
      <c r="F69" s="86" t="s">
        <v>150</v>
      </c>
      <c r="G69" s="39" t="s">
        <v>208</v>
      </c>
      <c r="H69" s="96" t="s">
        <v>115</v>
      </c>
      <c r="I69" s="42" t="s">
        <v>386</v>
      </c>
      <c r="J69" s="42" t="s">
        <v>361</v>
      </c>
      <c r="K69" s="33" t="s">
        <v>373</v>
      </c>
      <c r="L69" s="33" t="s">
        <v>380</v>
      </c>
      <c r="M69" s="33" t="s">
        <v>201</v>
      </c>
      <c r="N69" s="43">
        <v>2</v>
      </c>
      <c r="O69" s="54">
        <v>0</v>
      </c>
      <c r="P69" s="54">
        <v>0</v>
      </c>
      <c r="Q69" s="54">
        <v>1</v>
      </c>
      <c r="R69" s="54">
        <v>0</v>
      </c>
    </row>
    <row r="70" spans="1:18" s="57" customFormat="1" ht="12.75" customHeight="1" x14ac:dyDescent="0.25">
      <c r="A70" s="101" t="s">
        <v>98</v>
      </c>
      <c r="B70" s="112">
        <v>14.2</v>
      </c>
      <c r="C70" s="113">
        <v>0.73485</v>
      </c>
      <c r="D70" s="114">
        <v>5</v>
      </c>
      <c r="E70" s="115">
        <v>8</v>
      </c>
      <c r="F70" s="79" t="s">
        <v>150</v>
      </c>
      <c r="G70" s="19" t="s">
        <v>209</v>
      </c>
      <c r="H70" s="103" t="s">
        <v>98</v>
      </c>
      <c r="I70" s="22" t="s">
        <v>386</v>
      </c>
      <c r="J70" s="22" t="s">
        <v>364</v>
      </c>
      <c r="K70" s="22" t="s">
        <v>365</v>
      </c>
      <c r="L70" s="22" t="s">
        <v>366</v>
      </c>
      <c r="M70" s="24" t="s">
        <v>167</v>
      </c>
      <c r="N70" s="83">
        <v>1</v>
      </c>
      <c r="O70" s="54">
        <v>0</v>
      </c>
      <c r="P70" s="54">
        <v>1</v>
      </c>
      <c r="Q70" s="54">
        <v>0</v>
      </c>
      <c r="R70" s="54">
        <v>1</v>
      </c>
    </row>
    <row r="71" spans="1:18" s="57" customFormat="1" ht="12.75" customHeight="1" x14ac:dyDescent="0.25">
      <c r="A71" s="101" t="s">
        <v>99</v>
      </c>
      <c r="B71" s="112">
        <v>16.666699999999999</v>
      </c>
      <c r="C71" s="113">
        <v>0.66666999999999998</v>
      </c>
      <c r="D71" s="114">
        <v>3</v>
      </c>
      <c r="E71" s="115">
        <v>1</v>
      </c>
      <c r="F71" s="79" t="s">
        <v>150</v>
      </c>
      <c r="G71" s="19" t="s">
        <v>209</v>
      </c>
      <c r="H71" s="21" t="s">
        <v>99</v>
      </c>
      <c r="I71" s="22" t="s">
        <v>386</v>
      </c>
      <c r="J71" s="22" t="s">
        <v>364</v>
      </c>
      <c r="K71" s="22" t="s">
        <v>367</v>
      </c>
      <c r="L71" s="22" t="s">
        <v>368</v>
      </c>
      <c r="M71" s="24" t="s">
        <v>167</v>
      </c>
      <c r="N71" s="83">
        <v>2</v>
      </c>
      <c r="O71" s="54">
        <v>1</v>
      </c>
      <c r="P71" s="54">
        <v>1</v>
      </c>
      <c r="Q71" s="54">
        <v>1</v>
      </c>
      <c r="R71" s="54">
        <v>1</v>
      </c>
    </row>
    <row r="72" spans="1:18" s="57" customFormat="1" ht="12.75" customHeight="1" x14ac:dyDescent="0.25">
      <c r="A72" s="101" t="s">
        <v>100</v>
      </c>
      <c r="B72" s="112">
        <v>12.6</v>
      </c>
      <c r="C72" s="113">
        <v>1.3266500000000001</v>
      </c>
      <c r="D72" s="114">
        <v>5</v>
      </c>
      <c r="E72" s="115">
        <v>12</v>
      </c>
      <c r="F72" s="79" t="s">
        <v>150</v>
      </c>
      <c r="G72" s="19" t="s">
        <v>209</v>
      </c>
      <c r="H72" s="103" t="s">
        <v>100</v>
      </c>
      <c r="I72" s="22" t="s">
        <v>386</v>
      </c>
      <c r="J72" s="24" t="s">
        <v>364</v>
      </c>
      <c r="K72" s="24" t="s">
        <v>365</v>
      </c>
      <c r="L72" s="24" t="s">
        <v>366</v>
      </c>
      <c r="M72" s="24" t="s">
        <v>165</v>
      </c>
      <c r="N72" s="83">
        <v>2</v>
      </c>
      <c r="O72" s="54">
        <v>0</v>
      </c>
      <c r="P72" s="54">
        <v>1</v>
      </c>
      <c r="Q72" s="54">
        <v>1</v>
      </c>
      <c r="R72" s="54">
        <v>1</v>
      </c>
    </row>
    <row r="73" spans="1:18" s="57" customFormat="1" ht="12.75" customHeight="1" x14ac:dyDescent="0.25">
      <c r="A73" s="101" t="s">
        <v>464</v>
      </c>
      <c r="B73" s="112">
        <v>9.8000000000000007</v>
      </c>
      <c r="C73" s="113">
        <v>1.8275699999999999</v>
      </c>
      <c r="D73" s="114">
        <v>5</v>
      </c>
      <c r="E73" s="115">
        <v>21</v>
      </c>
      <c r="F73" s="79" t="s">
        <v>150</v>
      </c>
      <c r="G73" s="19" t="s">
        <v>209</v>
      </c>
      <c r="H73" s="103" t="s">
        <v>101</v>
      </c>
      <c r="I73" s="22" t="s">
        <v>386</v>
      </c>
      <c r="J73" s="22" t="s">
        <v>361</v>
      </c>
      <c r="K73" s="22" t="s">
        <v>391</v>
      </c>
      <c r="L73" s="22" t="s">
        <v>369</v>
      </c>
      <c r="M73" s="28" t="s">
        <v>171</v>
      </c>
      <c r="N73" s="83">
        <v>7</v>
      </c>
      <c r="O73" s="54">
        <v>0</v>
      </c>
      <c r="P73" s="54">
        <v>0</v>
      </c>
      <c r="Q73" s="54">
        <v>1</v>
      </c>
      <c r="R73" s="54">
        <v>0</v>
      </c>
    </row>
    <row r="74" spans="1:18" s="57" customFormat="1" ht="12.75" customHeight="1" x14ac:dyDescent="0.25">
      <c r="A74" s="101" t="s">
        <v>116</v>
      </c>
      <c r="B74" s="112">
        <v>11</v>
      </c>
      <c r="C74" s="113">
        <v>1.2247399999999999</v>
      </c>
      <c r="D74" s="114">
        <v>4</v>
      </c>
      <c r="E74" s="115">
        <v>18</v>
      </c>
      <c r="F74" s="86" t="s">
        <v>150</v>
      </c>
      <c r="G74" s="39" t="s">
        <v>208</v>
      </c>
      <c r="H74" s="96" t="s">
        <v>116</v>
      </c>
      <c r="I74" s="42" t="s">
        <v>386</v>
      </c>
      <c r="J74" s="42" t="s">
        <v>361</v>
      </c>
      <c r="K74" s="42" t="s">
        <v>391</v>
      </c>
      <c r="L74" s="42" t="s">
        <v>369</v>
      </c>
      <c r="M74" s="33" t="s">
        <v>199</v>
      </c>
      <c r="N74" s="83">
        <v>2</v>
      </c>
      <c r="O74" s="54">
        <v>1</v>
      </c>
      <c r="P74" s="54">
        <v>1</v>
      </c>
      <c r="Q74" s="54">
        <v>1</v>
      </c>
      <c r="R74" s="54">
        <v>1</v>
      </c>
    </row>
    <row r="75" spans="1:18" s="57" customFormat="1" ht="12.75" customHeight="1" x14ac:dyDescent="0.25">
      <c r="A75" s="101" t="s">
        <v>102</v>
      </c>
      <c r="B75" s="112">
        <v>6.5</v>
      </c>
      <c r="C75" s="113">
        <v>1.89297</v>
      </c>
      <c r="D75" s="114">
        <v>4</v>
      </c>
      <c r="E75" s="115">
        <v>23</v>
      </c>
      <c r="F75" s="79" t="s">
        <v>150</v>
      </c>
      <c r="G75" s="19" t="s">
        <v>209</v>
      </c>
      <c r="H75" s="105" t="s">
        <v>102</v>
      </c>
      <c r="I75" s="22" t="s">
        <v>386</v>
      </c>
      <c r="J75" s="22" t="s">
        <v>361</v>
      </c>
      <c r="K75" s="22" t="s">
        <v>391</v>
      </c>
      <c r="L75" s="22" t="s">
        <v>369</v>
      </c>
      <c r="M75" s="24" t="s">
        <v>171</v>
      </c>
      <c r="N75" s="83">
        <v>2</v>
      </c>
      <c r="O75" s="54">
        <v>0</v>
      </c>
      <c r="P75" s="54">
        <v>0</v>
      </c>
      <c r="Q75" s="54">
        <v>1</v>
      </c>
      <c r="R75" s="54">
        <v>0</v>
      </c>
    </row>
    <row r="76" spans="1:18" s="57" customFormat="1" ht="12.75" customHeight="1" x14ac:dyDescent="0.25">
      <c r="A76" s="101" t="s">
        <v>103</v>
      </c>
      <c r="B76" s="112">
        <v>12.333299999999999</v>
      </c>
      <c r="C76" s="113">
        <v>2.9627300000000001</v>
      </c>
      <c r="D76" s="114">
        <v>3</v>
      </c>
      <c r="E76" s="115">
        <v>14</v>
      </c>
      <c r="F76" s="79" t="s">
        <v>150</v>
      </c>
      <c r="G76" s="19" t="s">
        <v>209</v>
      </c>
      <c r="H76" s="26" t="s">
        <v>103</v>
      </c>
      <c r="I76" s="22" t="s">
        <v>386</v>
      </c>
      <c r="J76" s="24" t="s">
        <v>364</v>
      </c>
      <c r="K76" s="24" t="s">
        <v>365</v>
      </c>
      <c r="L76" s="24" t="s">
        <v>366</v>
      </c>
      <c r="M76" s="24" t="s">
        <v>155</v>
      </c>
      <c r="N76" s="43" t="s">
        <v>454</v>
      </c>
      <c r="O76" s="54">
        <v>0</v>
      </c>
      <c r="P76" s="54">
        <v>0</v>
      </c>
      <c r="Q76" s="54">
        <v>0</v>
      </c>
      <c r="R76" s="54">
        <v>1</v>
      </c>
    </row>
    <row r="77" spans="1:18" s="57" customFormat="1" ht="12.75" customHeight="1" x14ac:dyDescent="0.25">
      <c r="A77" s="101" t="s">
        <v>104</v>
      </c>
      <c r="B77" s="112">
        <v>15.8</v>
      </c>
      <c r="C77" s="113">
        <v>0.4899</v>
      </c>
      <c r="D77" s="114">
        <v>5</v>
      </c>
      <c r="E77" s="115">
        <v>3</v>
      </c>
      <c r="F77" s="79" t="s">
        <v>150</v>
      </c>
      <c r="G77" s="19" t="s">
        <v>209</v>
      </c>
      <c r="H77" s="25" t="s">
        <v>104</v>
      </c>
      <c r="I77" s="22" t="s">
        <v>386</v>
      </c>
      <c r="J77" s="22" t="s">
        <v>361</v>
      </c>
      <c r="K77" s="24" t="s">
        <v>371</v>
      </c>
      <c r="L77" s="24" t="s">
        <v>372</v>
      </c>
      <c r="M77" s="24" t="s">
        <v>171</v>
      </c>
      <c r="N77" s="85" t="s">
        <v>454</v>
      </c>
      <c r="O77" s="54">
        <v>1</v>
      </c>
      <c r="P77" s="54">
        <v>1</v>
      </c>
      <c r="Q77" s="54">
        <v>1</v>
      </c>
      <c r="R77" s="54">
        <v>1</v>
      </c>
    </row>
    <row r="78" spans="1:18" s="57" customFormat="1" ht="12.75" customHeight="1" x14ac:dyDescent="0.25">
      <c r="A78" s="101" t="s">
        <v>494</v>
      </c>
      <c r="B78" s="112">
        <v>13</v>
      </c>
      <c r="C78" s="113">
        <v>1.3416399999999999</v>
      </c>
      <c r="D78" s="114">
        <v>5</v>
      </c>
      <c r="E78" s="115">
        <v>10</v>
      </c>
      <c r="F78" s="79" t="s">
        <v>150</v>
      </c>
      <c r="G78" s="19" t="s">
        <v>209</v>
      </c>
      <c r="H78" s="103" t="s">
        <v>395</v>
      </c>
      <c r="I78" s="22" t="s">
        <v>386</v>
      </c>
      <c r="J78" s="22" t="s">
        <v>361</v>
      </c>
      <c r="K78" s="24" t="s">
        <v>371</v>
      </c>
      <c r="L78" s="87" t="s">
        <v>372</v>
      </c>
      <c r="M78" s="24" t="s">
        <v>171</v>
      </c>
      <c r="N78" s="85" t="s">
        <v>454</v>
      </c>
      <c r="O78" s="54">
        <v>1</v>
      </c>
      <c r="P78" s="54">
        <v>1</v>
      </c>
      <c r="Q78" s="54">
        <v>0</v>
      </c>
      <c r="R78" s="54">
        <v>1</v>
      </c>
    </row>
    <row r="79" spans="1:18" s="57" customFormat="1" ht="12.75" customHeight="1" x14ac:dyDescent="0.25">
      <c r="A79" s="101" t="s">
        <v>105</v>
      </c>
      <c r="B79" s="112">
        <v>10.333299999999999</v>
      </c>
      <c r="C79" s="113">
        <v>3.4801000000000002</v>
      </c>
      <c r="D79" s="114">
        <v>3</v>
      </c>
      <c r="E79" s="115">
        <v>20</v>
      </c>
      <c r="F79" s="79" t="s">
        <v>150</v>
      </c>
      <c r="G79" s="19" t="s">
        <v>209</v>
      </c>
      <c r="H79" s="27" t="s">
        <v>105</v>
      </c>
      <c r="I79" s="22" t="s">
        <v>386</v>
      </c>
      <c r="J79" s="22" t="s">
        <v>361</v>
      </c>
      <c r="K79" s="24" t="s">
        <v>371</v>
      </c>
      <c r="L79" s="24" t="s">
        <v>372</v>
      </c>
      <c r="M79" s="24" t="s">
        <v>171</v>
      </c>
      <c r="N79" s="43">
        <v>2</v>
      </c>
      <c r="O79" s="54">
        <v>0</v>
      </c>
      <c r="P79" s="54">
        <v>1</v>
      </c>
      <c r="Q79" s="54">
        <v>0</v>
      </c>
      <c r="R79" s="54">
        <v>0</v>
      </c>
    </row>
    <row r="80" spans="1:18" s="57" customFormat="1" ht="12.75" customHeight="1" x14ac:dyDescent="0.25">
      <c r="A80" s="101" t="s">
        <v>106</v>
      </c>
      <c r="B80" s="112">
        <v>14.4</v>
      </c>
      <c r="C80" s="113">
        <v>0.81240000000000001</v>
      </c>
      <c r="D80" s="114">
        <v>5</v>
      </c>
      <c r="E80" s="115">
        <v>7</v>
      </c>
      <c r="F80" s="79" t="s">
        <v>150</v>
      </c>
      <c r="G80" s="19" t="s">
        <v>209</v>
      </c>
      <c r="H80" s="103" t="s">
        <v>106</v>
      </c>
      <c r="I80" s="22" t="s">
        <v>386</v>
      </c>
      <c r="J80" s="22" t="s">
        <v>361</v>
      </c>
      <c r="K80" s="24" t="s">
        <v>373</v>
      </c>
      <c r="L80" s="24" t="s">
        <v>392</v>
      </c>
      <c r="M80" s="24" t="s">
        <v>167</v>
      </c>
      <c r="N80" s="85">
        <v>2</v>
      </c>
      <c r="O80" s="54">
        <v>1</v>
      </c>
      <c r="P80" s="54">
        <v>1</v>
      </c>
      <c r="Q80" s="54">
        <v>1</v>
      </c>
      <c r="R80" s="54">
        <v>1</v>
      </c>
    </row>
    <row r="81" spans="1:18" s="57" customFormat="1" ht="12.75" customHeight="1" x14ac:dyDescent="0.25">
      <c r="A81" s="101" t="s">
        <v>107</v>
      </c>
      <c r="B81" s="112">
        <v>12</v>
      </c>
      <c r="C81" s="113">
        <v>1.9578899999999999</v>
      </c>
      <c r="D81" s="114">
        <v>4</v>
      </c>
      <c r="E81" s="115">
        <v>15</v>
      </c>
      <c r="F81" s="79" t="s">
        <v>150</v>
      </c>
      <c r="G81" s="19" t="s">
        <v>209</v>
      </c>
      <c r="H81" s="103" t="s">
        <v>107</v>
      </c>
      <c r="I81" s="22" t="s">
        <v>386</v>
      </c>
      <c r="J81" s="22" t="s">
        <v>361</v>
      </c>
      <c r="K81" s="24" t="s">
        <v>373</v>
      </c>
      <c r="L81" s="24" t="s">
        <v>392</v>
      </c>
      <c r="M81" s="24" t="s">
        <v>165</v>
      </c>
      <c r="N81" s="85">
        <v>2</v>
      </c>
      <c r="O81" s="54">
        <v>1</v>
      </c>
      <c r="P81" s="54">
        <v>0</v>
      </c>
      <c r="Q81" s="54">
        <v>1</v>
      </c>
      <c r="R81" s="54">
        <v>1</v>
      </c>
    </row>
    <row r="82" spans="1:18" s="57" customFormat="1" ht="12.75" customHeight="1" x14ac:dyDescent="0.25">
      <c r="A82" s="101" t="s">
        <v>108</v>
      </c>
      <c r="B82" s="112">
        <v>12.666700000000001</v>
      </c>
      <c r="C82" s="113">
        <v>1.3333299999999999</v>
      </c>
      <c r="D82" s="114">
        <v>3</v>
      </c>
      <c r="E82" s="115">
        <v>11</v>
      </c>
      <c r="F82" s="79" t="s">
        <v>150</v>
      </c>
      <c r="G82" s="19" t="s">
        <v>209</v>
      </c>
      <c r="H82" s="21" t="s">
        <v>108</v>
      </c>
      <c r="I82" s="22" t="s">
        <v>386</v>
      </c>
      <c r="J82" s="22" t="s">
        <v>361</v>
      </c>
      <c r="K82" s="24" t="s">
        <v>374</v>
      </c>
      <c r="L82" s="24" t="s">
        <v>375</v>
      </c>
      <c r="M82" s="24" t="s">
        <v>165</v>
      </c>
      <c r="N82" s="85">
        <v>2</v>
      </c>
      <c r="O82" s="54">
        <v>0</v>
      </c>
      <c r="P82" s="54">
        <v>1</v>
      </c>
      <c r="Q82" s="54">
        <v>1</v>
      </c>
      <c r="R82" s="54">
        <v>1</v>
      </c>
    </row>
    <row r="83" spans="1:18" s="57" customFormat="1" ht="12.75" customHeight="1" x14ac:dyDescent="0.25">
      <c r="A83" s="101" t="s">
        <v>109</v>
      </c>
      <c r="B83" s="112">
        <v>11</v>
      </c>
      <c r="C83" s="113">
        <v>1</v>
      </c>
      <c r="D83" s="114">
        <v>3</v>
      </c>
      <c r="E83" s="115">
        <v>19</v>
      </c>
      <c r="F83" s="79" t="s">
        <v>150</v>
      </c>
      <c r="G83" s="19" t="s">
        <v>209</v>
      </c>
      <c r="H83" s="21" t="s">
        <v>109</v>
      </c>
      <c r="I83" s="22" t="s">
        <v>386</v>
      </c>
      <c r="J83" s="24" t="s">
        <v>364</v>
      </c>
      <c r="K83" s="24" t="s">
        <v>365</v>
      </c>
      <c r="L83" s="24" t="s">
        <v>370</v>
      </c>
      <c r="M83" s="24" t="s">
        <v>200</v>
      </c>
      <c r="N83" s="85">
        <v>2</v>
      </c>
      <c r="O83" s="54">
        <v>1</v>
      </c>
      <c r="P83" s="54">
        <v>1</v>
      </c>
      <c r="Q83" s="54">
        <v>0</v>
      </c>
      <c r="R83" s="54">
        <v>1</v>
      </c>
    </row>
    <row r="84" spans="1:18" s="57" customFormat="1" ht="12.75" customHeight="1" x14ac:dyDescent="0.25">
      <c r="A84" s="101" t="s">
        <v>110</v>
      </c>
      <c r="B84" s="112">
        <v>8.25</v>
      </c>
      <c r="C84" s="113">
        <v>2.28674</v>
      </c>
      <c r="D84" s="114">
        <v>4</v>
      </c>
      <c r="E84" s="115">
        <v>22</v>
      </c>
      <c r="F84" s="86" t="s">
        <v>150</v>
      </c>
      <c r="G84" s="39" t="s">
        <v>208</v>
      </c>
      <c r="H84" s="99" t="s">
        <v>110</v>
      </c>
      <c r="I84" s="42" t="s">
        <v>386</v>
      </c>
      <c r="J84" s="42" t="s">
        <v>361</v>
      </c>
      <c r="K84" s="33" t="s">
        <v>371</v>
      </c>
      <c r="L84" s="33" t="s">
        <v>381</v>
      </c>
      <c r="M84" s="33" t="s">
        <v>159</v>
      </c>
      <c r="N84" s="43" t="s">
        <v>462</v>
      </c>
      <c r="O84" s="54">
        <v>0</v>
      </c>
      <c r="P84" s="54">
        <v>0</v>
      </c>
      <c r="Q84" s="54">
        <v>0</v>
      </c>
      <c r="R84" s="54">
        <v>0</v>
      </c>
    </row>
    <row r="85" spans="1:18" s="57" customFormat="1" ht="12.75" customHeight="1" x14ac:dyDescent="0.25">
      <c r="A85" s="101" t="s">
        <v>117</v>
      </c>
      <c r="B85" s="112">
        <v>15.4</v>
      </c>
      <c r="C85" s="113">
        <v>1.0770299999999999</v>
      </c>
      <c r="D85" s="114">
        <v>5</v>
      </c>
      <c r="E85" s="115">
        <v>5</v>
      </c>
      <c r="F85" s="86" t="s">
        <v>150</v>
      </c>
      <c r="G85" s="39" t="s">
        <v>208</v>
      </c>
      <c r="H85" s="44" t="s">
        <v>117</v>
      </c>
      <c r="I85" s="97" t="s">
        <v>118</v>
      </c>
      <c r="J85" s="42" t="s">
        <v>360</v>
      </c>
      <c r="K85" s="42" t="s">
        <v>383</v>
      </c>
      <c r="L85" s="42" t="s">
        <v>217</v>
      </c>
      <c r="M85" s="33" t="s">
        <v>167</v>
      </c>
      <c r="N85" s="43" t="s">
        <v>454</v>
      </c>
      <c r="O85" s="54">
        <v>1</v>
      </c>
      <c r="P85" s="54">
        <v>1</v>
      </c>
      <c r="Q85" s="54">
        <v>0</v>
      </c>
      <c r="R85" s="54">
        <v>1</v>
      </c>
    </row>
    <row r="86" spans="1:18" s="58" customFormat="1" ht="12.75" customHeight="1" x14ac:dyDescent="0.25">
      <c r="A86" s="101" t="s">
        <v>111</v>
      </c>
      <c r="B86" s="112">
        <v>15.666700000000001</v>
      </c>
      <c r="C86" s="113">
        <v>1.2018500000000001</v>
      </c>
      <c r="D86" s="114">
        <v>3</v>
      </c>
      <c r="E86" s="115">
        <v>4</v>
      </c>
      <c r="F86" s="86" t="s">
        <v>150</v>
      </c>
      <c r="G86" s="42" t="s">
        <v>149</v>
      </c>
      <c r="H86" s="38" t="s">
        <v>111</v>
      </c>
      <c r="I86" s="82" t="s">
        <v>118</v>
      </c>
      <c r="J86" s="39" t="s">
        <v>360</v>
      </c>
      <c r="K86" s="39" t="s">
        <v>383</v>
      </c>
      <c r="L86" s="39" t="s">
        <v>217</v>
      </c>
      <c r="M86" s="81" t="s">
        <v>171</v>
      </c>
      <c r="N86" s="85" t="s">
        <v>454</v>
      </c>
      <c r="O86" s="52">
        <v>0</v>
      </c>
      <c r="P86" s="52">
        <v>1</v>
      </c>
      <c r="Q86" s="52">
        <v>0</v>
      </c>
      <c r="R86" s="52">
        <v>0</v>
      </c>
    </row>
    <row r="87" spans="1:18" s="58" customFormat="1" ht="12.75" customHeight="1" x14ac:dyDescent="0.25">
      <c r="A87" s="101" t="s">
        <v>112</v>
      </c>
      <c r="B87" s="112">
        <v>13.5</v>
      </c>
      <c r="C87" s="113">
        <v>0.5</v>
      </c>
      <c r="D87" s="114">
        <v>4</v>
      </c>
      <c r="E87" s="115">
        <v>9</v>
      </c>
      <c r="F87" s="79" t="s">
        <v>150</v>
      </c>
      <c r="G87" s="34" t="s">
        <v>209</v>
      </c>
      <c r="H87" s="46" t="s">
        <v>112</v>
      </c>
      <c r="I87" s="20" t="s">
        <v>386</v>
      </c>
      <c r="J87" s="87" t="s">
        <v>364</v>
      </c>
      <c r="K87" s="87" t="s">
        <v>376</v>
      </c>
      <c r="L87" s="87" t="s">
        <v>377</v>
      </c>
      <c r="M87" s="87" t="s">
        <v>171</v>
      </c>
      <c r="N87" s="85" t="s">
        <v>465</v>
      </c>
      <c r="O87" s="93">
        <v>0</v>
      </c>
      <c r="P87" s="93">
        <v>1</v>
      </c>
      <c r="Q87" s="93">
        <v>1</v>
      </c>
      <c r="R87" s="93">
        <v>0</v>
      </c>
    </row>
    <row r="88" spans="1:18" s="58" customFormat="1" ht="12.75" customHeight="1" x14ac:dyDescent="0.25">
      <c r="A88" s="101" t="s">
        <v>113</v>
      </c>
      <c r="B88" s="112">
        <v>15.333299999999999</v>
      </c>
      <c r="C88" s="113">
        <v>1.11555</v>
      </c>
      <c r="D88" s="114">
        <v>6</v>
      </c>
      <c r="E88" s="115">
        <v>6</v>
      </c>
      <c r="F88" s="79" t="s">
        <v>150</v>
      </c>
      <c r="G88" s="34" t="s">
        <v>209</v>
      </c>
      <c r="H88" s="46" t="s">
        <v>113</v>
      </c>
      <c r="I88" s="20" t="s">
        <v>386</v>
      </c>
      <c r="J88" s="87" t="s">
        <v>364</v>
      </c>
      <c r="K88" s="87" t="s">
        <v>376</v>
      </c>
      <c r="L88" s="87" t="s">
        <v>377</v>
      </c>
      <c r="M88" s="87" t="s">
        <v>165</v>
      </c>
      <c r="N88" s="85">
        <v>4</v>
      </c>
      <c r="O88" s="93">
        <v>0</v>
      </c>
      <c r="P88" s="93">
        <v>1</v>
      </c>
      <c r="Q88" s="93">
        <v>1</v>
      </c>
      <c r="R88" s="93">
        <v>0</v>
      </c>
    </row>
    <row r="89" spans="1:18" s="58" customFormat="1" ht="12.75" customHeight="1" x14ac:dyDescent="0.25">
      <c r="A89" s="106" t="s">
        <v>15</v>
      </c>
      <c r="B89" s="116">
        <v>8.1999999999999993</v>
      </c>
      <c r="C89" s="117">
        <v>1.5297099999999999</v>
      </c>
      <c r="D89" s="118">
        <v>5</v>
      </c>
      <c r="E89" s="119">
        <v>39</v>
      </c>
      <c r="F89" s="79" t="s">
        <v>466</v>
      </c>
      <c r="G89" s="42" t="s">
        <v>208</v>
      </c>
      <c r="H89" s="80" t="s">
        <v>15</v>
      </c>
      <c r="I89" s="35" t="s">
        <v>225</v>
      </c>
      <c r="J89" s="36" t="s">
        <v>231</v>
      </c>
      <c r="K89" s="82" t="s">
        <v>261</v>
      </c>
      <c r="L89" s="82" t="s">
        <v>262</v>
      </c>
      <c r="M89" s="35" t="s">
        <v>157</v>
      </c>
      <c r="N89" s="83">
        <v>2</v>
      </c>
      <c r="O89" s="49">
        <v>0</v>
      </c>
      <c r="P89" s="49">
        <v>0</v>
      </c>
      <c r="Q89" s="49">
        <v>0</v>
      </c>
      <c r="R89" s="49">
        <v>0</v>
      </c>
    </row>
    <row r="90" spans="1:18" s="58" customFormat="1" ht="12.75" customHeight="1" x14ac:dyDescent="0.25">
      <c r="A90" s="106" t="s">
        <v>121</v>
      </c>
      <c r="B90" s="116">
        <v>15.8</v>
      </c>
      <c r="C90" s="117">
        <v>0.58309999999999995</v>
      </c>
      <c r="D90" s="118">
        <v>5</v>
      </c>
      <c r="E90" s="119">
        <v>8</v>
      </c>
      <c r="F90" s="79" t="s">
        <v>466</v>
      </c>
      <c r="G90" s="34" t="s">
        <v>209</v>
      </c>
      <c r="H90" s="92" t="s">
        <v>121</v>
      </c>
      <c r="I90" s="19" t="s">
        <v>225</v>
      </c>
      <c r="J90" s="90" t="s">
        <v>231</v>
      </c>
      <c r="K90" s="90" t="s">
        <v>232</v>
      </c>
      <c r="L90" s="90" t="s">
        <v>233</v>
      </c>
      <c r="M90" s="19" t="s">
        <v>153</v>
      </c>
      <c r="N90" s="85">
        <v>1</v>
      </c>
      <c r="O90" s="49">
        <v>0</v>
      </c>
      <c r="P90" s="49">
        <v>1</v>
      </c>
      <c r="Q90" s="49">
        <v>0</v>
      </c>
      <c r="R90" s="49">
        <v>1</v>
      </c>
    </row>
    <row r="91" spans="1:18" ht="12.75" customHeight="1" x14ac:dyDescent="0.25">
      <c r="A91" s="106" t="s">
        <v>467</v>
      </c>
      <c r="B91" s="116">
        <v>11.5</v>
      </c>
      <c r="C91" s="117">
        <v>0.64549999999999996</v>
      </c>
      <c r="D91" s="118">
        <v>4</v>
      </c>
      <c r="E91" s="119">
        <v>34</v>
      </c>
      <c r="F91" s="79" t="s">
        <v>466</v>
      </c>
      <c r="G91" s="19" t="s">
        <v>209</v>
      </c>
      <c r="H91" s="92" t="s">
        <v>145</v>
      </c>
      <c r="I91" s="19" t="s">
        <v>225</v>
      </c>
      <c r="J91" s="90" t="s">
        <v>234</v>
      </c>
      <c r="K91" s="90" t="s">
        <v>235</v>
      </c>
      <c r="L91" s="90" t="s">
        <v>236</v>
      </c>
      <c r="M91" s="19" t="s">
        <v>155</v>
      </c>
      <c r="N91" s="85" t="s">
        <v>468</v>
      </c>
      <c r="O91" s="49">
        <v>1</v>
      </c>
      <c r="P91" s="49">
        <v>1</v>
      </c>
      <c r="Q91" s="49">
        <v>0</v>
      </c>
      <c r="R91" s="49">
        <v>1</v>
      </c>
    </row>
    <row r="92" spans="1:18" ht="12.75" customHeight="1" x14ac:dyDescent="0.25">
      <c r="A92" s="106" t="s">
        <v>469</v>
      </c>
      <c r="B92" s="116">
        <v>13.8</v>
      </c>
      <c r="C92" s="117">
        <v>1.0677099999999999</v>
      </c>
      <c r="D92" s="118">
        <v>5</v>
      </c>
      <c r="E92" s="119">
        <v>19</v>
      </c>
      <c r="F92" s="79" t="s">
        <v>466</v>
      </c>
      <c r="G92" s="19" t="s">
        <v>209</v>
      </c>
      <c r="H92" s="37" t="s">
        <v>122</v>
      </c>
      <c r="I92" s="35" t="s">
        <v>225</v>
      </c>
      <c r="J92" s="36" t="s">
        <v>231</v>
      </c>
      <c r="K92" s="36" t="s">
        <v>237</v>
      </c>
      <c r="L92" s="36" t="s">
        <v>238</v>
      </c>
      <c r="M92" s="35" t="s">
        <v>165</v>
      </c>
      <c r="N92" s="85">
        <v>1</v>
      </c>
      <c r="O92" s="55">
        <v>1</v>
      </c>
      <c r="P92" s="55">
        <v>1</v>
      </c>
      <c r="Q92" s="55">
        <v>1</v>
      </c>
      <c r="R92" s="55">
        <v>1</v>
      </c>
    </row>
    <row r="93" spans="1:18" ht="12.75" customHeight="1" x14ac:dyDescent="0.25">
      <c r="A93" s="106" t="s">
        <v>470</v>
      </c>
      <c r="B93" s="116">
        <v>15.25</v>
      </c>
      <c r="C93" s="117">
        <v>0.85390999999999995</v>
      </c>
      <c r="D93" s="118">
        <v>4</v>
      </c>
      <c r="E93" s="119">
        <v>10</v>
      </c>
      <c r="F93" s="79" t="s">
        <v>466</v>
      </c>
      <c r="G93" s="39" t="s">
        <v>208</v>
      </c>
      <c r="H93" s="80" t="s">
        <v>10</v>
      </c>
      <c r="I93" s="35" t="s">
        <v>225</v>
      </c>
      <c r="J93" s="82" t="s">
        <v>234</v>
      </c>
      <c r="K93" s="82" t="s">
        <v>235</v>
      </c>
      <c r="L93" s="82" t="s">
        <v>236</v>
      </c>
      <c r="M93" s="35" t="s">
        <v>165</v>
      </c>
      <c r="N93" s="85" t="s">
        <v>468</v>
      </c>
      <c r="O93" s="49">
        <v>0</v>
      </c>
      <c r="P93" s="49">
        <v>1</v>
      </c>
      <c r="Q93" s="49">
        <v>1</v>
      </c>
      <c r="R93" s="49">
        <v>0</v>
      </c>
    </row>
    <row r="94" spans="1:18" ht="12.75" customHeight="1" x14ac:dyDescent="0.25">
      <c r="A94" s="106" t="s">
        <v>123</v>
      </c>
      <c r="B94" s="116">
        <v>14.833299999999999</v>
      </c>
      <c r="C94" s="117">
        <v>0.40139000000000002</v>
      </c>
      <c r="D94" s="118">
        <v>6</v>
      </c>
      <c r="E94" s="119">
        <v>12</v>
      </c>
      <c r="F94" s="79" t="s">
        <v>466</v>
      </c>
      <c r="G94" s="19" t="s">
        <v>209</v>
      </c>
      <c r="H94" s="37" t="s">
        <v>123</v>
      </c>
      <c r="I94" s="35" t="s">
        <v>225</v>
      </c>
      <c r="J94" s="82" t="s">
        <v>231</v>
      </c>
      <c r="K94" s="82" t="s">
        <v>232</v>
      </c>
      <c r="L94" s="82" t="s">
        <v>233</v>
      </c>
      <c r="M94" s="35" t="s">
        <v>157</v>
      </c>
      <c r="N94" s="85" t="s">
        <v>454</v>
      </c>
      <c r="O94" s="55">
        <v>0</v>
      </c>
      <c r="P94" s="55">
        <v>0</v>
      </c>
      <c r="Q94" s="55">
        <v>1</v>
      </c>
      <c r="R94" s="55">
        <v>1</v>
      </c>
    </row>
    <row r="95" spans="1:18" ht="12.75" customHeight="1" x14ac:dyDescent="0.25">
      <c r="A95" s="106" t="s">
        <v>124</v>
      </c>
      <c r="B95" s="116">
        <v>13.25</v>
      </c>
      <c r="C95" s="117">
        <v>0.47871000000000002</v>
      </c>
      <c r="D95" s="118">
        <v>4</v>
      </c>
      <c r="E95" s="119">
        <v>23</v>
      </c>
      <c r="F95" s="79" t="s">
        <v>466</v>
      </c>
      <c r="G95" s="19" t="s">
        <v>209</v>
      </c>
      <c r="H95" s="80" t="s">
        <v>124</v>
      </c>
      <c r="I95" s="35" t="s">
        <v>225</v>
      </c>
      <c r="J95" s="82" t="s">
        <v>231</v>
      </c>
      <c r="K95" s="82" t="s">
        <v>232</v>
      </c>
      <c r="L95" s="82" t="s">
        <v>233</v>
      </c>
      <c r="M95" s="45" t="s">
        <v>178</v>
      </c>
      <c r="N95" s="85" t="s">
        <v>454</v>
      </c>
      <c r="O95" s="55">
        <v>0</v>
      </c>
      <c r="P95" s="55">
        <v>0</v>
      </c>
      <c r="Q95" s="55">
        <v>1</v>
      </c>
      <c r="R95" s="55">
        <v>1</v>
      </c>
    </row>
    <row r="96" spans="1:18" ht="12.75" customHeight="1" x14ac:dyDescent="0.25">
      <c r="A96" s="106" t="s">
        <v>471</v>
      </c>
      <c r="B96" s="116">
        <v>12</v>
      </c>
      <c r="C96" s="117">
        <v>0.94867999999999997</v>
      </c>
      <c r="D96" s="118">
        <v>5</v>
      </c>
      <c r="E96" s="119">
        <v>31</v>
      </c>
      <c r="F96" s="79" t="s">
        <v>466</v>
      </c>
      <c r="G96" s="39" t="s">
        <v>208</v>
      </c>
      <c r="H96" s="80" t="s">
        <v>12</v>
      </c>
      <c r="I96" s="35" t="s">
        <v>225</v>
      </c>
      <c r="J96" s="82" t="s">
        <v>2</v>
      </c>
      <c r="K96" s="82" t="s">
        <v>258</v>
      </c>
      <c r="L96" s="82" t="s">
        <v>264</v>
      </c>
      <c r="M96" s="35" t="s">
        <v>165</v>
      </c>
      <c r="N96" s="43" t="s">
        <v>454</v>
      </c>
      <c r="O96" s="49">
        <v>0</v>
      </c>
      <c r="P96" s="49">
        <v>0</v>
      </c>
      <c r="Q96" s="49">
        <v>1</v>
      </c>
      <c r="R96" s="49">
        <v>1</v>
      </c>
    </row>
    <row r="97" spans="1:18" ht="12.75" customHeight="1" x14ac:dyDescent="0.25">
      <c r="A97" s="106" t="s">
        <v>472</v>
      </c>
      <c r="B97" s="120">
        <v>11</v>
      </c>
      <c r="C97" s="121">
        <v>0.40825</v>
      </c>
      <c r="D97" s="122">
        <v>4</v>
      </c>
      <c r="E97" s="119">
        <v>36</v>
      </c>
      <c r="F97" s="79" t="s">
        <v>466</v>
      </c>
      <c r="G97" s="39" t="s">
        <v>208</v>
      </c>
      <c r="H97" s="80" t="s">
        <v>13</v>
      </c>
      <c r="I97" s="35" t="s">
        <v>225</v>
      </c>
      <c r="J97" s="82" t="s">
        <v>2</v>
      </c>
      <c r="K97" s="82" t="s">
        <v>258</v>
      </c>
      <c r="L97" s="82" t="s">
        <v>259</v>
      </c>
      <c r="M97" s="35" t="s">
        <v>165</v>
      </c>
      <c r="N97" s="85" t="s">
        <v>454</v>
      </c>
      <c r="O97" s="49">
        <v>0</v>
      </c>
      <c r="P97" s="49">
        <v>1</v>
      </c>
      <c r="Q97" s="49">
        <v>0</v>
      </c>
      <c r="R97" s="49">
        <v>1</v>
      </c>
    </row>
    <row r="98" spans="1:18" ht="12.75" customHeight="1" x14ac:dyDescent="0.25">
      <c r="A98" s="106" t="s">
        <v>125</v>
      </c>
      <c r="B98" s="116">
        <v>18.2</v>
      </c>
      <c r="C98" s="117">
        <v>0.37417</v>
      </c>
      <c r="D98" s="118">
        <v>5</v>
      </c>
      <c r="E98" s="119">
        <v>1</v>
      </c>
      <c r="F98" s="79" t="s">
        <v>466</v>
      </c>
      <c r="G98" s="19" t="s">
        <v>209</v>
      </c>
      <c r="H98" s="37" t="s">
        <v>125</v>
      </c>
      <c r="I98" s="35" t="s">
        <v>225</v>
      </c>
      <c r="J98" s="82" t="s">
        <v>231</v>
      </c>
      <c r="K98" s="82" t="s">
        <v>232</v>
      </c>
      <c r="L98" s="82" t="s">
        <v>233</v>
      </c>
      <c r="M98" s="35" t="s">
        <v>177</v>
      </c>
      <c r="N98" s="83" t="s">
        <v>454</v>
      </c>
      <c r="O98" s="55">
        <v>0</v>
      </c>
      <c r="P98" s="55">
        <v>1</v>
      </c>
      <c r="Q98" s="55">
        <v>0</v>
      </c>
      <c r="R98" s="55">
        <v>0</v>
      </c>
    </row>
    <row r="99" spans="1:18" ht="12.75" customHeight="1" x14ac:dyDescent="0.25">
      <c r="A99" s="106" t="s">
        <v>126</v>
      </c>
      <c r="B99" s="116">
        <v>16</v>
      </c>
      <c r="C99" s="117">
        <v>0.25819999999999999</v>
      </c>
      <c r="D99" s="118">
        <v>6</v>
      </c>
      <c r="E99" s="119">
        <v>6</v>
      </c>
      <c r="F99" s="79" t="s">
        <v>466</v>
      </c>
      <c r="G99" s="19" t="s">
        <v>209</v>
      </c>
      <c r="H99" s="37" t="s">
        <v>126</v>
      </c>
      <c r="I99" s="35" t="s">
        <v>225</v>
      </c>
      <c r="J99" s="36" t="s">
        <v>231</v>
      </c>
      <c r="K99" s="36" t="s">
        <v>243</v>
      </c>
      <c r="L99" s="36" t="s">
        <v>244</v>
      </c>
      <c r="M99" s="35" t="s">
        <v>198</v>
      </c>
      <c r="N99" s="83">
        <v>1</v>
      </c>
      <c r="O99" s="55">
        <v>0</v>
      </c>
      <c r="P99" s="55">
        <v>1</v>
      </c>
      <c r="Q99" s="55">
        <v>0</v>
      </c>
      <c r="R99" s="55">
        <v>1</v>
      </c>
    </row>
    <row r="100" spans="1:18" ht="12.75" customHeight="1" x14ac:dyDescent="0.25">
      <c r="A100" s="106" t="s">
        <v>127</v>
      </c>
      <c r="B100" s="116">
        <v>13.6</v>
      </c>
      <c r="C100" s="117">
        <v>0.50990000000000002</v>
      </c>
      <c r="D100" s="118">
        <v>5</v>
      </c>
      <c r="E100" s="119">
        <v>21</v>
      </c>
      <c r="F100" s="79" t="s">
        <v>466</v>
      </c>
      <c r="G100" s="19" t="s">
        <v>209</v>
      </c>
      <c r="H100" s="80" t="s">
        <v>127</v>
      </c>
      <c r="I100" s="35" t="s">
        <v>225</v>
      </c>
      <c r="J100" s="36" t="s">
        <v>231</v>
      </c>
      <c r="K100" s="82" t="s">
        <v>245</v>
      </c>
      <c r="L100" s="82" t="s">
        <v>246</v>
      </c>
      <c r="M100" s="45" t="s">
        <v>165</v>
      </c>
      <c r="N100" s="85" t="s">
        <v>454</v>
      </c>
      <c r="O100" s="55">
        <v>1</v>
      </c>
      <c r="P100" s="55">
        <v>1</v>
      </c>
      <c r="Q100" s="55">
        <v>1</v>
      </c>
      <c r="R100" s="55">
        <v>1</v>
      </c>
    </row>
    <row r="101" spans="1:18" ht="12.75" customHeight="1" x14ac:dyDescent="0.25">
      <c r="A101" s="106" t="s">
        <v>128</v>
      </c>
      <c r="B101" s="116">
        <v>16.2</v>
      </c>
      <c r="C101" s="117">
        <v>0.73485</v>
      </c>
      <c r="D101" s="118">
        <v>5</v>
      </c>
      <c r="E101" s="119">
        <v>4</v>
      </c>
      <c r="F101" s="79" t="s">
        <v>466</v>
      </c>
      <c r="G101" s="19" t="s">
        <v>209</v>
      </c>
      <c r="H101" s="80" t="s">
        <v>128</v>
      </c>
      <c r="I101" s="35" t="s">
        <v>225</v>
      </c>
      <c r="J101" s="36" t="s">
        <v>231</v>
      </c>
      <c r="K101" s="82" t="s">
        <v>245</v>
      </c>
      <c r="L101" s="82" t="s">
        <v>247</v>
      </c>
      <c r="M101" s="35" t="s">
        <v>165</v>
      </c>
      <c r="N101" s="85">
        <v>1</v>
      </c>
      <c r="O101" s="55">
        <v>1</v>
      </c>
      <c r="P101" s="55">
        <v>1</v>
      </c>
      <c r="Q101" s="55">
        <v>1</v>
      </c>
      <c r="R101" s="55">
        <v>1</v>
      </c>
    </row>
    <row r="102" spans="1:18" ht="12.75" customHeight="1" x14ac:dyDescent="0.25">
      <c r="A102" s="106" t="s">
        <v>129</v>
      </c>
      <c r="B102" s="116">
        <v>14.25</v>
      </c>
      <c r="C102" s="117">
        <v>0.75</v>
      </c>
      <c r="D102" s="118">
        <v>4</v>
      </c>
      <c r="E102" s="119">
        <v>17</v>
      </c>
      <c r="F102" s="79" t="s">
        <v>466</v>
      </c>
      <c r="G102" s="19" t="s">
        <v>209</v>
      </c>
      <c r="H102" s="107" t="s">
        <v>129</v>
      </c>
      <c r="I102" s="35" t="s">
        <v>225</v>
      </c>
      <c r="J102" s="36" t="s">
        <v>231</v>
      </c>
      <c r="K102" s="36" t="s">
        <v>237</v>
      </c>
      <c r="L102" s="36" t="s">
        <v>238</v>
      </c>
      <c r="M102" s="35" t="s">
        <v>165</v>
      </c>
      <c r="N102" s="83" t="s">
        <v>454</v>
      </c>
      <c r="O102" s="55">
        <v>0</v>
      </c>
      <c r="P102" s="55">
        <v>1</v>
      </c>
      <c r="Q102" s="55">
        <v>0</v>
      </c>
      <c r="R102" s="55">
        <v>1</v>
      </c>
    </row>
    <row r="103" spans="1:18" ht="12.75" customHeight="1" x14ac:dyDescent="0.25">
      <c r="A103" s="106" t="s">
        <v>473</v>
      </c>
      <c r="B103" s="116">
        <v>14.666700000000001</v>
      </c>
      <c r="C103" s="117">
        <v>0.42164000000000001</v>
      </c>
      <c r="D103" s="118">
        <v>6</v>
      </c>
      <c r="E103" s="119">
        <v>13</v>
      </c>
      <c r="F103" s="79" t="s">
        <v>466</v>
      </c>
      <c r="G103" s="19" t="s">
        <v>209</v>
      </c>
      <c r="H103" s="80" t="s">
        <v>130</v>
      </c>
      <c r="I103" s="35" t="s">
        <v>225</v>
      </c>
      <c r="J103" s="36" t="s">
        <v>231</v>
      </c>
      <c r="K103" s="82" t="s">
        <v>239</v>
      </c>
      <c r="L103" s="36" t="s">
        <v>248</v>
      </c>
      <c r="M103" s="35" t="s">
        <v>165</v>
      </c>
      <c r="N103" s="83">
        <v>1</v>
      </c>
      <c r="O103" s="55">
        <v>1</v>
      </c>
      <c r="P103" s="55">
        <v>1</v>
      </c>
      <c r="Q103" s="55">
        <v>1</v>
      </c>
      <c r="R103" s="55">
        <v>1</v>
      </c>
    </row>
    <row r="104" spans="1:18" x14ac:dyDescent="0.25">
      <c r="A104" s="106" t="s">
        <v>474</v>
      </c>
      <c r="B104" s="120">
        <v>9.5</v>
      </c>
      <c r="C104" s="121">
        <v>1.0408299999999999</v>
      </c>
      <c r="D104" s="122">
        <v>4</v>
      </c>
      <c r="E104" s="119">
        <v>37</v>
      </c>
      <c r="F104" s="79" t="s">
        <v>466</v>
      </c>
      <c r="G104" s="39" t="s">
        <v>208</v>
      </c>
      <c r="H104" s="108" t="s">
        <v>14</v>
      </c>
      <c r="I104" s="35" t="s">
        <v>225</v>
      </c>
      <c r="J104" s="82" t="s">
        <v>231</v>
      </c>
      <c r="K104" s="82" t="s">
        <v>232</v>
      </c>
      <c r="L104" s="82" t="s">
        <v>233</v>
      </c>
      <c r="M104" s="35" t="s">
        <v>153</v>
      </c>
      <c r="N104" s="23" t="s">
        <v>454</v>
      </c>
      <c r="O104" s="109">
        <v>0</v>
      </c>
      <c r="P104" s="109">
        <v>0</v>
      </c>
      <c r="Q104" s="109">
        <v>1</v>
      </c>
      <c r="R104" s="109">
        <v>0</v>
      </c>
    </row>
    <row r="105" spans="1:18" ht="12.75" customHeight="1" x14ac:dyDescent="0.25">
      <c r="A105" s="106" t="s">
        <v>148</v>
      </c>
      <c r="B105" s="116">
        <v>12.2</v>
      </c>
      <c r="C105" s="117">
        <v>0.58309999999999995</v>
      </c>
      <c r="D105" s="118">
        <v>5</v>
      </c>
      <c r="E105" s="119">
        <v>30</v>
      </c>
      <c r="F105" s="79" t="s">
        <v>466</v>
      </c>
      <c r="G105" s="39" t="s">
        <v>208</v>
      </c>
      <c r="H105" s="80" t="s">
        <v>148</v>
      </c>
      <c r="I105" s="35" t="s">
        <v>225</v>
      </c>
      <c r="J105" s="82" t="s">
        <v>1</v>
      </c>
      <c r="K105" s="82" t="s">
        <v>242</v>
      </c>
      <c r="L105" s="82" t="s">
        <v>254</v>
      </c>
      <c r="M105" s="35" t="s">
        <v>165</v>
      </c>
      <c r="N105" s="83" t="s">
        <v>454</v>
      </c>
      <c r="O105" s="49">
        <v>1</v>
      </c>
      <c r="P105" s="49">
        <v>1</v>
      </c>
      <c r="Q105" s="49">
        <v>1</v>
      </c>
      <c r="R105" s="49">
        <v>1</v>
      </c>
    </row>
    <row r="106" spans="1:18" ht="12.75" customHeight="1" x14ac:dyDescent="0.25">
      <c r="A106" s="106" t="s">
        <v>475</v>
      </c>
      <c r="B106" s="116">
        <v>8.8000000000000007</v>
      </c>
      <c r="C106" s="117">
        <v>2.4779</v>
      </c>
      <c r="D106" s="118">
        <v>5</v>
      </c>
      <c r="E106" s="119">
        <v>38</v>
      </c>
      <c r="F106" s="79" t="s">
        <v>466</v>
      </c>
      <c r="G106" s="39" t="s">
        <v>208</v>
      </c>
      <c r="H106" s="80" t="s">
        <v>146</v>
      </c>
      <c r="I106" s="35" t="s">
        <v>225</v>
      </c>
      <c r="J106" s="82" t="s">
        <v>2</v>
      </c>
      <c r="K106" s="82" t="s">
        <v>258</v>
      </c>
      <c r="L106" s="82" t="s">
        <v>265</v>
      </c>
      <c r="M106" s="35" t="s">
        <v>159</v>
      </c>
      <c r="N106" s="43" t="s">
        <v>454</v>
      </c>
      <c r="O106" s="49">
        <v>0</v>
      </c>
      <c r="P106" s="49">
        <v>0</v>
      </c>
      <c r="Q106" s="49">
        <v>1</v>
      </c>
      <c r="R106" s="49">
        <v>0</v>
      </c>
    </row>
    <row r="107" spans="1:18" ht="12.75" customHeight="1" x14ac:dyDescent="0.25">
      <c r="A107" s="106" t="s">
        <v>131</v>
      </c>
      <c r="B107" s="116">
        <v>17.166699999999999</v>
      </c>
      <c r="C107" s="117">
        <v>0.40139000000000002</v>
      </c>
      <c r="D107" s="118">
        <v>6</v>
      </c>
      <c r="E107" s="119">
        <v>2</v>
      </c>
      <c r="F107" s="79" t="s">
        <v>466</v>
      </c>
      <c r="G107" s="19" t="s">
        <v>209</v>
      </c>
      <c r="H107" s="80" t="s">
        <v>131</v>
      </c>
      <c r="I107" s="35" t="s">
        <v>225</v>
      </c>
      <c r="J107" s="36" t="s">
        <v>231</v>
      </c>
      <c r="K107" s="82" t="s">
        <v>239</v>
      </c>
      <c r="L107" s="36" t="s">
        <v>248</v>
      </c>
      <c r="M107" s="35" t="s">
        <v>165</v>
      </c>
      <c r="N107" s="85">
        <v>1</v>
      </c>
      <c r="O107" s="55">
        <v>0</v>
      </c>
      <c r="P107" s="55">
        <v>1</v>
      </c>
      <c r="Q107" s="55">
        <v>1</v>
      </c>
      <c r="R107" s="55">
        <v>1</v>
      </c>
    </row>
    <row r="108" spans="1:18" ht="12.75" customHeight="1" x14ac:dyDescent="0.25">
      <c r="A108" s="106" t="s">
        <v>132</v>
      </c>
      <c r="B108" s="116">
        <v>12</v>
      </c>
      <c r="C108" s="117">
        <v>0.40825</v>
      </c>
      <c r="D108" s="118">
        <v>4</v>
      </c>
      <c r="E108" s="119">
        <v>32</v>
      </c>
      <c r="F108" s="79" t="s">
        <v>466</v>
      </c>
      <c r="G108" s="19" t="s">
        <v>209</v>
      </c>
      <c r="H108" s="91" t="s">
        <v>132</v>
      </c>
      <c r="I108" s="35" t="s">
        <v>225</v>
      </c>
      <c r="J108" s="82" t="s">
        <v>231</v>
      </c>
      <c r="K108" s="82" t="s">
        <v>232</v>
      </c>
      <c r="L108" s="82" t="s">
        <v>241</v>
      </c>
      <c r="M108" s="35" t="s">
        <v>157</v>
      </c>
      <c r="N108" s="85" t="s">
        <v>454</v>
      </c>
      <c r="O108" s="55">
        <v>0</v>
      </c>
      <c r="P108" s="55">
        <v>1</v>
      </c>
      <c r="Q108" s="55">
        <v>0</v>
      </c>
      <c r="R108" s="55">
        <v>1</v>
      </c>
    </row>
    <row r="109" spans="1:18" ht="12.75" customHeight="1" x14ac:dyDescent="0.25">
      <c r="A109" s="106" t="s">
        <v>141</v>
      </c>
      <c r="B109" s="116">
        <v>13.666700000000001</v>
      </c>
      <c r="C109" s="117">
        <v>0.49441000000000002</v>
      </c>
      <c r="D109" s="118">
        <v>6</v>
      </c>
      <c r="E109" s="119">
        <v>20</v>
      </c>
      <c r="F109" s="79" t="s">
        <v>466</v>
      </c>
      <c r="G109" s="19" t="s">
        <v>209</v>
      </c>
      <c r="H109" s="99" t="s">
        <v>141</v>
      </c>
      <c r="I109" s="35" t="s">
        <v>225</v>
      </c>
      <c r="J109" s="82" t="s">
        <v>0</v>
      </c>
      <c r="K109" s="82" t="s">
        <v>249</v>
      </c>
      <c r="L109" s="82" t="s">
        <v>250</v>
      </c>
      <c r="M109" s="35" t="s">
        <v>157</v>
      </c>
      <c r="N109" s="85" t="s">
        <v>468</v>
      </c>
      <c r="O109" s="55">
        <v>1</v>
      </c>
      <c r="P109" s="55">
        <v>1</v>
      </c>
      <c r="Q109" s="55">
        <v>0</v>
      </c>
      <c r="R109" s="55">
        <v>1</v>
      </c>
    </row>
    <row r="110" spans="1:18" ht="12.75" customHeight="1" x14ac:dyDescent="0.25">
      <c r="A110" s="106" t="s">
        <v>142</v>
      </c>
      <c r="B110" s="116">
        <v>15.4</v>
      </c>
      <c r="C110" s="117">
        <v>0.67823</v>
      </c>
      <c r="D110" s="118">
        <v>5</v>
      </c>
      <c r="E110" s="119">
        <v>9</v>
      </c>
      <c r="F110" s="79" t="s">
        <v>466</v>
      </c>
      <c r="G110" s="19" t="s">
        <v>209</v>
      </c>
      <c r="H110" s="80" t="s">
        <v>142</v>
      </c>
      <c r="I110" s="35" t="s">
        <v>225</v>
      </c>
      <c r="J110" s="82" t="s">
        <v>0</v>
      </c>
      <c r="K110" s="82" t="s">
        <v>229</v>
      </c>
      <c r="L110" s="82" t="s">
        <v>230</v>
      </c>
      <c r="M110" s="35" t="s">
        <v>165</v>
      </c>
      <c r="N110" s="85">
        <v>2</v>
      </c>
      <c r="O110" s="55">
        <v>0</v>
      </c>
      <c r="P110" s="55">
        <v>1</v>
      </c>
      <c r="Q110" s="55">
        <v>0</v>
      </c>
      <c r="R110" s="55">
        <v>1</v>
      </c>
    </row>
    <row r="111" spans="1:18" ht="12.75" customHeight="1" x14ac:dyDescent="0.25">
      <c r="A111" s="106" t="s">
        <v>133</v>
      </c>
      <c r="B111" s="116">
        <v>14.6</v>
      </c>
      <c r="C111" s="117">
        <v>0.50990000000000002</v>
      </c>
      <c r="D111" s="118">
        <v>5</v>
      </c>
      <c r="E111" s="119">
        <v>14</v>
      </c>
      <c r="F111" s="79" t="s">
        <v>466</v>
      </c>
      <c r="G111" s="19" t="s">
        <v>209</v>
      </c>
      <c r="H111" s="37" t="s">
        <v>133</v>
      </c>
      <c r="I111" s="35" t="s">
        <v>225</v>
      </c>
      <c r="J111" s="82" t="s">
        <v>231</v>
      </c>
      <c r="K111" s="36" t="s">
        <v>251</v>
      </c>
      <c r="L111" s="36" t="s">
        <v>252</v>
      </c>
      <c r="M111" s="35" t="s">
        <v>193</v>
      </c>
      <c r="N111" s="85" t="s">
        <v>454</v>
      </c>
      <c r="O111" s="55">
        <v>0</v>
      </c>
      <c r="P111" s="55">
        <v>1</v>
      </c>
      <c r="Q111" s="55">
        <v>1</v>
      </c>
      <c r="R111" s="55">
        <v>0</v>
      </c>
    </row>
    <row r="112" spans="1:18" ht="12.75" customHeight="1" x14ac:dyDescent="0.25">
      <c r="A112" s="106" t="s">
        <v>143</v>
      </c>
      <c r="B112" s="116">
        <v>13.25</v>
      </c>
      <c r="C112" s="117">
        <v>0.85390999999999995</v>
      </c>
      <c r="D112" s="118">
        <v>4</v>
      </c>
      <c r="E112" s="119">
        <v>24</v>
      </c>
      <c r="F112" s="79" t="s">
        <v>466</v>
      </c>
      <c r="G112" s="19" t="s">
        <v>209</v>
      </c>
      <c r="H112" s="91" t="s">
        <v>143</v>
      </c>
      <c r="I112" s="35" t="s">
        <v>225</v>
      </c>
      <c r="J112" s="82" t="s">
        <v>0</v>
      </c>
      <c r="K112" s="82" t="s">
        <v>249</v>
      </c>
      <c r="L112" s="82" t="s">
        <v>253</v>
      </c>
      <c r="M112" s="35" t="s">
        <v>193</v>
      </c>
      <c r="N112" s="85" t="s">
        <v>468</v>
      </c>
      <c r="O112" s="55">
        <v>1</v>
      </c>
      <c r="P112" s="55">
        <v>1</v>
      </c>
      <c r="Q112" s="55">
        <v>0</v>
      </c>
      <c r="R112" s="55">
        <v>1</v>
      </c>
    </row>
    <row r="113" spans="1:18" ht="12.75" customHeight="1" x14ac:dyDescent="0.25">
      <c r="A113" s="106" t="s">
        <v>476</v>
      </c>
      <c r="B113" s="120">
        <v>11.6</v>
      </c>
      <c r="C113" s="121">
        <v>0.24495</v>
      </c>
      <c r="D113" s="122">
        <v>5</v>
      </c>
      <c r="E113" s="119">
        <v>33</v>
      </c>
      <c r="F113" s="79" t="s">
        <v>466</v>
      </c>
      <c r="G113" s="39" t="s">
        <v>208</v>
      </c>
      <c r="H113" s="80" t="s">
        <v>11</v>
      </c>
      <c r="I113" s="35" t="s">
        <v>225</v>
      </c>
      <c r="J113" s="82" t="s">
        <v>234</v>
      </c>
      <c r="K113" s="82" t="s">
        <v>235</v>
      </c>
      <c r="L113" s="82" t="s">
        <v>236</v>
      </c>
      <c r="M113" s="35" t="s">
        <v>165</v>
      </c>
      <c r="N113" s="85">
        <v>6</v>
      </c>
      <c r="O113" s="49">
        <v>1</v>
      </c>
      <c r="P113" s="49">
        <v>1</v>
      </c>
      <c r="Q113" s="49">
        <v>0</v>
      </c>
      <c r="R113" s="49">
        <v>1</v>
      </c>
    </row>
    <row r="114" spans="1:18" ht="12.75" customHeight="1" x14ac:dyDescent="0.25">
      <c r="A114" s="106" t="s">
        <v>18</v>
      </c>
      <c r="B114" s="116">
        <v>12.333299999999999</v>
      </c>
      <c r="C114" s="117">
        <v>0.66666999999999998</v>
      </c>
      <c r="D114" s="118">
        <v>3</v>
      </c>
      <c r="E114" s="119">
        <v>29</v>
      </c>
      <c r="F114" s="79" t="s">
        <v>466</v>
      </c>
      <c r="G114" s="39" t="s">
        <v>208</v>
      </c>
      <c r="H114" s="80" t="s">
        <v>18</v>
      </c>
      <c r="I114" s="35" t="s">
        <v>225</v>
      </c>
      <c r="J114" s="82" t="s">
        <v>2</v>
      </c>
      <c r="K114" s="82" t="s">
        <v>258</v>
      </c>
      <c r="L114" s="82" t="s">
        <v>263</v>
      </c>
      <c r="M114" s="35" t="s">
        <v>157</v>
      </c>
      <c r="N114" s="43" t="s">
        <v>454</v>
      </c>
      <c r="O114" s="49">
        <v>0</v>
      </c>
      <c r="P114" s="49">
        <v>0</v>
      </c>
      <c r="Q114" s="49">
        <v>1</v>
      </c>
      <c r="R114" s="49">
        <v>0</v>
      </c>
    </row>
    <row r="115" spans="1:18" ht="12.75" customHeight="1" x14ac:dyDescent="0.25">
      <c r="A115" s="106" t="s">
        <v>495</v>
      </c>
      <c r="B115" s="116">
        <v>12.5</v>
      </c>
      <c r="C115" s="117">
        <v>0.86602999999999997</v>
      </c>
      <c r="D115" s="118">
        <v>4</v>
      </c>
      <c r="E115" s="119">
        <v>28</v>
      </c>
      <c r="F115" s="79" t="s">
        <v>466</v>
      </c>
      <c r="G115" s="19" t="s">
        <v>209</v>
      </c>
      <c r="H115" s="80" t="s">
        <v>427</v>
      </c>
      <c r="I115" s="35" t="s">
        <v>225</v>
      </c>
      <c r="J115" s="82" t="s">
        <v>1</v>
      </c>
      <c r="K115" s="82" t="s">
        <v>242</v>
      </c>
      <c r="L115" s="82" t="s">
        <v>254</v>
      </c>
      <c r="M115" s="35" t="s">
        <v>153</v>
      </c>
      <c r="N115" s="85">
        <v>1</v>
      </c>
      <c r="O115" s="55">
        <v>0</v>
      </c>
      <c r="P115" s="55">
        <v>0</v>
      </c>
      <c r="Q115" s="55">
        <v>1</v>
      </c>
      <c r="R115" s="55">
        <v>0</v>
      </c>
    </row>
    <row r="116" spans="1:18" ht="12.75" customHeight="1" x14ac:dyDescent="0.25">
      <c r="A116" s="106" t="s">
        <v>134</v>
      </c>
      <c r="B116" s="116">
        <v>14.6</v>
      </c>
      <c r="C116" s="117">
        <v>0.67823</v>
      </c>
      <c r="D116" s="118">
        <v>5</v>
      </c>
      <c r="E116" s="119">
        <v>15</v>
      </c>
      <c r="F116" s="79" t="s">
        <v>466</v>
      </c>
      <c r="G116" s="19" t="s">
        <v>209</v>
      </c>
      <c r="H116" s="80" t="s">
        <v>134</v>
      </c>
      <c r="I116" s="35" t="s">
        <v>225</v>
      </c>
      <c r="J116" s="36" t="s">
        <v>231</v>
      </c>
      <c r="K116" s="82" t="s">
        <v>239</v>
      </c>
      <c r="L116" s="82" t="s">
        <v>255</v>
      </c>
      <c r="M116" s="35" t="s">
        <v>177</v>
      </c>
      <c r="N116" s="85">
        <v>1</v>
      </c>
      <c r="O116" s="55">
        <v>0</v>
      </c>
      <c r="P116" s="55">
        <v>1</v>
      </c>
      <c r="Q116" s="55">
        <v>0</v>
      </c>
      <c r="R116" s="55">
        <v>1</v>
      </c>
    </row>
    <row r="117" spans="1:18" ht="12.75" customHeight="1" x14ac:dyDescent="0.25">
      <c r="A117" s="106" t="s">
        <v>144</v>
      </c>
      <c r="B117" s="116">
        <v>15</v>
      </c>
      <c r="C117" s="117">
        <v>1.2909900000000001</v>
      </c>
      <c r="D117" s="118">
        <v>4</v>
      </c>
      <c r="E117" s="119">
        <v>11</v>
      </c>
      <c r="F117" s="79" t="s">
        <v>466</v>
      </c>
      <c r="G117" s="19" t="s">
        <v>209</v>
      </c>
      <c r="H117" s="37" t="s">
        <v>144</v>
      </c>
      <c r="I117" s="35" t="s">
        <v>225</v>
      </c>
      <c r="J117" s="82" t="s">
        <v>0</v>
      </c>
      <c r="K117" s="82" t="s">
        <v>229</v>
      </c>
      <c r="L117" s="36" t="s">
        <v>256</v>
      </c>
      <c r="M117" s="35" t="s">
        <v>165</v>
      </c>
      <c r="N117" s="85" t="s">
        <v>454</v>
      </c>
      <c r="O117" s="55">
        <v>1</v>
      </c>
      <c r="P117" s="55">
        <v>1</v>
      </c>
      <c r="Q117" s="55">
        <v>1</v>
      </c>
      <c r="R117" s="55">
        <v>1</v>
      </c>
    </row>
    <row r="118" spans="1:18" ht="12.75" customHeight="1" x14ac:dyDescent="0.25">
      <c r="A118" s="106" t="s">
        <v>477</v>
      </c>
      <c r="B118" s="116">
        <v>11.5</v>
      </c>
      <c r="C118" s="117">
        <v>0.64549999999999996</v>
      </c>
      <c r="D118" s="118">
        <v>4</v>
      </c>
      <c r="E118" s="119">
        <v>35</v>
      </c>
      <c r="F118" s="79" t="s">
        <v>466</v>
      </c>
      <c r="G118" s="39" t="s">
        <v>208</v>
      </c>
      <c r="H118" s="37" t="s">
        <v>147</v>
      </c>
      <c r="I118" s="35" t="s">
        <v>225</v>
      </c>
      <c r="J118" s="82" t="s">
        <v>2</v>
      </c>
      <c r="K118" s="82" t="s">
        <v>258</v>
      </c>
      <c r="L118" s="82" t="s">
        <v>259</v>
      </c>
      <c r="M118" s="35" t="s">
        <v>165</v>
      </c>
      <c r="N118" s="43" t="s">
        <v>454</v>
      </c>
      <c r="O118" s="49">
        <v>0</v>
      </c>
      <c r="P118" s="49">
        <v>0</v>
      </c>
      <c r="Q118" s="49">
        <v>0</v>
      </c>
      <c r="R118" s="49">
        <v>1</v>
      </c>
    </row>
    <row r="119" spans="1:18" ht="12.75" customHeight="1" x14ac:dyDescent="0.25">
      <c r="A119" s="106" t="s">
        <v>478</v>
      </c>
      <c r="B119" s="116">
        <v>15.833299999999999</v>
      </c>
      <c r="C119" s="117">
        <v>0.40139000000000002</v>
      </c>
      <c r="D119" s="118">
        <v>6</v>
      </c>
      <c r="E119" s="119">
        <v>7</v>
      </c>
      <c r="F119" s="79" t="s">
        <v>466</v>
      </c>
      <c r="G119" s="19" t="s">
        <v>209</v>
      </c>
      <c r="H119" s="80" t="s">
        <v>135</v>
      </c>
      <c r="I119" s="35" t="s">
        <v>225</v>
      </c>
      <c r="J119" s="82" t="s">
        <v>231</v>
      </c>
      <c r="K119" s="82" t="s">
        <v>232</v>
      </c>
      <c r="L119" s="82" t="s">
        <v>233</v>
      </c>
      <c r="M119" s="35" t="s">
        <v>157</v>
      </c>
      <c r="N119" s="85" t="s">
        <v>454</v>
      </c>
      <c r="O119" s="55">
        <v>1</v>
      </c>
      <c r="P119" s="55">
        <v>1</v>
      </c>
      <c r="Q119" s="55">
        <v>0</v>
      </c>
      <c r="R119" s="55">
        <v>1</v>
      </c>
    </row>
    <row r="120" spans="1:18" ht="12.75" customHeight="1" x14ac:dyDescent="0.25">
      <c r="A120" s="106" t="s">
        <v>136</v>
      </c>
      <c r="B120" s="116">
        <v>12.75</v>
      </c>
      <c r="C120" s="117">
        <v>0.62914999999999999</v>
      </c>
      <c r="D120" s="118">
        <v>4</v>
      </c>
      <c r="E120" s="119">
        <v>27</v>
      </c>
      <c r="F120" s="79" t="s">
        <v>466</v>
      </c>
      <c r="G120" s="19" t="s">
        <v>209</v>
      </c>
      <c r="H120" s="91" t="s">
        <v>136</v>
      </c>
      <c r="I120" s="35" t="s">
        <v>225</v>
      </c>
      <c r="J120" s="82" t="s">
        <v>231</v>
      </c>
      <c r="K120" s="82" t="s">
        <v>232</v>
      </c>
      <c r="L120" s="82" t="s">
        <v>233</v>
      </c>
      <c r="M120" s="35" t="s">
        <v>153</v>
      </c>
      <c r="N120" s="85" t="s">
        <v>454</v>
      </c>
      <c r="O120" s="55">
        <v>0</v>
      </c>
      <c r="P120" s="55">
        <v>1</v>
      </c>
      <c r="Q120" s="55">
        <v>0</v>
      </c>
      <c r="R120" s="55">
        <v>1</v>
      </c>
    </row>
    <row r="121" spans="1:18" ht="12.75" customHeight="1" x14ac:dyDescent="0.25">
      <c r="A121" s="106" t="s">
        <v>137</v>
      </c>
      <c r="B121" s="116">
        <v>14</v>
      </c>
      <c r="C121" s="117">
        <v>0.57735000000000003</v>
      </c>
      <c r="D121" s="118">
        <v>4</v>
      </c>
      <c r="E121" s="119">
        <v>18</v>
      </c>
      <c r="F121" s="79" t="s">
        <v>466</v>
      </c>
      <c r="G121" s="19" t="s">
        <v>209</v>
      </c>
      <c r="H121" s="80" t="s">
        <v>137</v>
      </c>
      <c r="I121" s="35" t="s">
        <v>225</v>
      </c>
      <c r="J121" s="82" t="s">
        <v>231</v>
      </c>
      <c r="K121" s="36" t="s">
        <v>251</v>
      </c>
      <c r="L121" s="36" t="s">
        <v>252</v>
      </c>
      <c r="M121" s="35" t="s">
        <v>165</v>
      </c>
      <c r="N121" s="85" t="s">
        <v>454</v>
      </c>
      <c r="O121" s="55">
        <v>0</v>
      </c>
      <c r="P121" s="55">
        <v>1</v>
      </c>
      <c r="Q121" s="55">
        <v>1</v>
      </c>
      <c r="R121" s="55">
        <v>1</v>
      </c>
    </row>
    <row r="122" spans="1:18" ht="12.75" customHeight="1" x14ac:dyDescent="0.25">
      <c r="A122" s="106" t="s">
        <v>138</v>
      </c>
      <c r="B122" s="116">
        <v>16.333300000000001</v>
      </c>
      <c r="C122" s="117">
        <v>0.61463999999999996</v>
      </c>
      <c r="D122" s="118">
        <v>6</v>
      </c>
      <c r="E122" s="119">
        <v>3</v>
      </c>
      <c r="F122" s="79" t="s">
        <v>466</v>
      </c>
      <c r="G122" s="19" t="s">
        <v>209</v>
      </c>
      <c r="H122" s="37" t="s">
        <v>138</v>
      </c>
      <c r="I122" s="35" t="s">
        <v>225</v>
      </c>
      <c r="J122" s="36" t="s">
        <v>231</v>
      </c>
      <c r="K122" s="82" t="s">
        <v>239</v>
      </c>
      <c r="L122" s="82" t="s">
        <v>255</v>
      </c>
      <c r="M122" s="35" t="s">
        <v>177</v>
      </c>
      <c r="N122" s="85">
        <v>1</v>
      </c>
      <c r="O122" s="55">
        <v>0</v>
      </c>
      <c r="P122" s="55">
        <v>1</v>
      </c>
      <c r="Q122" s="55">
        <v>0</v>
      </c>
      <c r="R122" s="55">
        <v>1</v>
      </c>
    </row>
    <row r="123" spans="1:18" ht="12.75" customHeight="1" x14ac:dyDescent="0.25">
      <c r="A123" s="106" t="s">
        <v>139</v>
      </c>
      <c r="B123" s="116">
        <v>13.5</v>
      </c>
      <c r="C123" s="117">
        <v>0.86602999999999997</v>
      </c>
      <c r="D123" s="118">
        <v>4</v>
      </c>
      <c r="E123" s="119">
        <v>22</v>
      </c>
      <c r="F123" s="79" t="s">
        <v>466</v>
      </c>
      <c r="G123" s="19" t="s">
        <v>209</v>
      </c>
      <c r="H123" s="80" t="s">
        <v>139</v>
      </c>
      <c r="I123" s="35" t="s">
        <v>225</v>
      </c>
      <c r="J123" s="82" t="s">
        <v>231</v>
      </c>
      <c r="K123" s="82" t="s">
        <v>232</v>
      </c>
      <c r="L123" s="82" t="s">
        <v>233</v>
      </c>
      <c r="M123" s="35" t="s">
        <v>177</v>
      </c>
      <c r="N123" s="85" t="s">
        <v>454</v>
      </c>
      <c r="O123" s="55">
        <v>0</v>
      </c>
      <c r="P123" s="55">
        <v>1</v>
      </c>
      <c r="Q123" s="55">
        <v>0</v>
      </c>
      <c r="R123" s="55">
        <v>1</v>
      </c>
    </row>
    <row r="124" spans="1:18" ht="12.75" customHeight="1" x14ac:dyDescent="0.25">
      <c r="A124" s="106" t="s">
        <v>140</v>
      </c>
      <c r="B124" s="116">
        <v>16.2</v>
      </c>
      <c r="C124" s="117">
        <v>0.37417</v>
      </c>
      <c r="D124" s="118">
        <v>5</v>
      </c>
      <c r="E124" s="119">
        <v>5</v>
      </c>
      <c r="F124" s="79" t="s">
        <v>466</v>
      </c>
      <c r="G124" s="19" t="s">
        <v>209</v>
      </c>
      <c r="H124" s="80" t="s">
        <v>140</v>
      </c>
      <c r="I124" s="35" t="s">
        <v>225</v>
      </c>
      <c r="J124" s="82" t="s">
        <v>231</v>
      </c>
      <c r="K124" s="82" t="s">
        <v>237</v>
      </c>
      <c r="L124" s="82" t="s">
        <v>257</v>
      </c>
      <c r="M124" s="35" t="s">
        <v>177</v>
      </c>
      <c r="N124" s="85">
        <v>1</v>
      </c>
      <c r="O124" s="55">
        <v>0</v>
      </c>
      <c r="P124" s="55">
        <v>1</v>
      </c>
      <c r="Q124" s="55">
        <v>1</v>
      </c>
      <c r="R124" s="55">
        <v>1</v>
      </c>
    </row>
    <row r="125" spans="1:18" ht="12.75" customHeight="1" x14ac:dyDescent="0.25">
      <c r="A125" s="106" t="s">
        <v>479</v>
      </c>
      <c r="B125" s="116">
        <v>13</v>
      </c>
      <c r="C125" s="117">
        <v>0.54771999999999998</v>
      </c>
      <c r="D125" s="118">
        <v>5</v>
      </c>
      <c r="E125" s="119">
        <v>25</v>
      </c>
      <c r="F125" s="79" t="s">
        <v>466</v>
      </c>
      <c r="G125" s="39" t="s">
        <v>208</v>
      </c>
      <c r="H125" s="38" t="s">
        <v>390</v>
      </c>
      <c r="I125" s="35" t="s">
        <v>225</v>
      </c>
      <c r="J125" s="82" t="s">
        <v>234</v>
      </c>
      <c r="K125" s="82" t="s">
        <v>267</v>
      </c>
      <c r="L125" s="82" t="s">
        <v>268</v>
      </c>
      <c r="M125" s="35" t="s">
        <v>155</v>
      </c>
      <c r="N125" s="43" t="s">
        <v>468</v>
      </c>
      <c r="O125" s="49">
        <v>1</v>
      </c>
      <c r="P125" s="49">
        <v>1</v>
      </c>
      <c r="Q125" s="49">
        <v>0</v>
      </c>
      <c r="R125" s="49">
        <v>1</v>
      </c>
    </row>
    <row r="126" spans="1:18" ht="12.75" customHeight="1" x14ac:dyDescent="0.25">
      <c r="A126" s="106" t="s">
        <v>480</v>
      </c>
      <c r="B126" s="116">
        <v>14.5</v>
      </c>
      <c r="C126" s="117">
        <v>0.28867999999999999</v>
      </c>
      <c r="D126" s="118">
        <v>4</v>
      </c>
      <c r="E126" s="119">
        <v>16</v>
      </c>
      <c r="F126" s="79" t="s">
        <v>466</v>
      </c>
      <c r="G126" s="19" t="s">
        <v>209</v>
      </c>
      <c r="H126" s="91" t="s">
        <v>120</v>
      </c>
      <c r="I126" s="35" t="s">
        <v>225</v>
      </c>
      <c r="J126" s="82" t="s">
        <v>2</v>
      </c>
      <c r="K126" s="82" t="s">
        <v>258</v>
      </c>
      <c r="L126" s="82" t="s">
        <v>259</v>
      </c>
      <c r="M126" s="35" t="s">
        <v>165</v>
      </c>
      <c r="N126" s="85" t="s">
        <v>454</v>
      </c>
      <c r="O126" s="55">
        <v>1</v>
      </c>
      <c r="P126" s="55">
        <v>1</v>
      </c>
      <c r="Q126" s="55">
        <v>1</v>
      </c>
      <c r="R126" s="55">
        <v>1</v>
      </c>
    </row>
    <row r="127" spans="1:18" ht="12.75" customHeight="1" x14ac:dyDescent="0.25">
      <c r="A127" s="106" t="s">
        <v>481</v>
      </c>
      <c r="B127" s="116">
        <v>12.8</v>
      </c>
      <c r="C127" s="117">
        <v>1.4628699999999999</v>
      </c>
      <c r="D127" s="118">
        <v>5</v>
      </c>
      <c r="E127" s="119">
        <v>26</v>
      </c>
      <c r="F127" s="79" t="s">
        <v>466</v>
      </c>
      <c r="G127" s="19" t="s">
        <v>209</v>
      </c>
      <c r="H127" s="80" t="s">
        <v>9</v>
      </c>
      <c r="I127" s="35" t="s">
        <v>225</v>
      </c>
      <c r="J127" s="82" t="s">
        <v>1</v>
      </c>
      <c r="K127" s="82" t="s">
        <v>242</v>
      </c>
      <c r="L127" s="82" t="s">
        <v>260</v>
      </c>
      <c r="M127" s="35" t="s">
        <v>155</v>
      </c>
      <c r="N127" s="85" t="s">
        <v>454</v>
      </c>
      <c r="O127" s="55">
        <v>1</v>
      </c>
      <c r="P127" s="55">
        <v>1</v>
      </c>
      <c r="Q127" s="55">
        <v>1</v>
      </c>
      <c r="R127" s="55">
        <v>1</v>
      </c>
    </row>
    <row r="128" spans="1:18" x14ac:dyDescent="0.25">
      <c r="O128" s="41">
        <f>SUM(O2:O127)</f>
        <v>28</v>
      </c>
      <c r="P128" s="41">
        <f>SUM(P2:P127)</f>
        <v>66</v>
      </c>
      <c r="Q128" s="41">
        <f>SUM(Q2:Q127)</f>
        <v>83</v>
      </c>
      <c r="R128" s="41">
        <f>SUM(R2:R127)</f>
        <v>63</v>
      </c>
    </row>
    <row r="129" spans="6:14" x14ac:dyDescent="0.25">
      <c r="F129" s="56"/>
      <c r="G129" s="56"/>
      <c r="H129" s="56"/>
      <c r="I129" s="56"/>
      <c r="J129" s="56"/>
      <c r="K129" s="56"/>
      <c r="L129" s="56"/>
    </row>
    <row r="130" spans="6:14" x14ac:dyDescent="0.25">
      <c r="F130" s="56"/>
      <c r="G130" s="56"/>
      <c r="H130" s="56"/>
      <c r="I130" s="56"/>
      <c r="J130" s="56"/>
      <c r="K130" s="56"/>
      <c r="L130" s="56"/>
    </row>
    <row r="131" spans="6:14" x14ac:dyDescent="0.25">
      <c r="F131" s="56"/>
      <c r="G131" s="56"/>
      <c r="H131" s="56"/>
      <c r="I131" s="56"/>
      <c r="J131" s="56"/>
      <c r="K131" s="56"/>
      <c r="L131" s="56"/>
      <c r="M131" s="40"/>
    </row>
    <row r="132" spans="6:14" x14ac:dyDescent="0.25">
      <c r="F132" s="56"/>
      <c r="G132" s="56"/>
      <c r="H132" s="56"/>
      <c r="I132" s="56"/>
      <c r="J132" s="56"/>
      <c r="K132" s="56"/>
      <c r="L132" s="56"/>
      <c r="M132" s="40"/>
    </row>
    <row r="133" spans="6:14" x14ac:dyDescent="0.25">
      <c r="F133" s="56"/>
      <c r="G133" s="56"/>
      <c r="H133" s="56"/>
      <c r="I133" s="56"/>
      <c r="J133" s="56"/>
      <c r="K133" s="56"/>
      <c r="L133" s="56"/>
      <c r="M133" s="40"/>
    </row>
    <row r="134" spans="6:14" x14ac:dyDescent="0.25">
      <c r="F134" s="56"/>
      <c r="G134" s="56"/>
      <c r="H134" s="56"/>
      <c r="I134" s="56"/>
      <c r="J134" s="56"/>
      <c r="K134" s="56"/>
      <c r="L134" s="56"/>
      <c r="M134" s="40"/>
    </row>
    <row r="135" spans="6:14" x14ac:dyDescent="0.25">
      <c r="F135" s="56"/>
      <c r="G135" s="56"/>
      <c r="H135" s="56"/>
      <c r="I135" s="56"/>
      <c r="J135" s="56"/>
      <c r="K135" s="56"/>
      <c r="L135" s="56"/>
      <c r="M135" s="40"/>
    </row>
    <row r="136" spans="6:14" x14ac:dyDescent="0.25">
      <c r="F136" s="56"/>
      <c r="G136" s="56"/>
      <c r="H136" s="56"/>
      <c r="I136" s="56"/>
      <c r="J136" s="56"/>
      <c r="K136" s="56"/>
      <c r="L136" s="56"/>
      <c r="M136" s="40"/>
    </row>
    <row r="137" spans="6:14" x14ac:dyDescent="0.25">
      <c r="F137" s="56"/>
      <c r="G137" s="56"/>
      <c r="H137" s="56"/>
      <c r="I137" s="56"/>
      <c r="J137" s="56"/>
      <c r="K137" s="56"/>
      <c r="L137" s="56"/>
      <c r="M137" s="40"/>
    </row>
    <row r="138" spans="6:14" x14ac:dyDescent="0.25">
      <c r="F138" s="56"/>
      <c r="G138" s="56"/>
      <c r="H138" s="56"/>
      <c r="I138" s="56"/>
      <c r="J138" s="56"/>
      <c r="K138" s="56"/>
      <c r="L138" s="56"/>
      <c r="N138" s="41"/>
    </row>
  </sheetData>
  <autoFilter ref="A1:R128"/>
  <conditionalFormatting sqref="H28">
    <cfRule type="duplicateValues" dxfId="68" priority="1"/>
  </conditionalFormatting>
  <conditionalFormatting sqref="H29">
    <cfRule type="duplicateValues" dxfId="67" priority="2"/>
  </conditionalFormatting>
  <conditionalFormatting sqref="H59:H60 H56">
    <cfRule type="duplicateValues" dxfId="66" priority="3"/>
  </conditionalFormatting>
  <conditionalFormatting sqref="H58">
    <cfRule type="duplicateValues" dxfId="65" priority="4"/>
  </conditionalFormatting>
  <conditionalFormatting sqref="H85">
    <cfRule type="duplicateValues" dxfId="64" priority="5"/>
  </conditionalFormatting>
  <conditionalFormatting sqref="H81">
    <cfRule type="duplicateValues" dxfId="63" priority="6"/>
  </conditionalFormatting>
  <conditionalFormatting sqref="H53">
    <cfRule type="duplicateValues" dxfId="62" priority="7"/>
  </conditionalFormatting>
  <conditionalFormatting sqref="H90">
    <cfRule type="duplicateValues" dxfId="61" priority="8"/>
  </conditionalFormatting>
  <conditionalFormatting sqref="H113:H114">
    <cfRule type="duplicateValues" dxfId="60" priority="9"/>
  </conditionalFormatting>
  <conditionalFormatting sqref="H121">
    <cfRule type="duplicateValues" dxfId="59" priority="10"/>
  </conditionalFormatting>
  <conditionalFormatting sqref="H115">
    <cfRule type="duplicateValues" dxfId="58" priority="11"/>
  </conditionalFormatting>
  <conditionalFormatting sqref="H116">
    <cfRule type="duplicateValues" dxfId="57" priority="12"/>
  </conditionalFormatting>
  <conditionalFormatting sqref="H120">
    <cfRule type="duplicateValues" dxfId="56" priority="13"/>
  </conditionalFormatting>
  <conditionalFormatting sqref="H16:H18">
    <cfRule type="duplicateValues" dxfId="55" priority="14"/>
  </conditionalFormatting>
  <conditionalFormatting sqref="H53">
    <cfRule type="duplicateValues" dxfId="54" priority="15"/>
  </conditionalFormatting>
  <conditionalFormatting sqref="H2:H14">
    <cfRule type="duplicateValues" dxfId="53" priority="16"/>
  </conditionalFormatting>
  <conditionalFormatting sqref="H2:H15">
    <cfRule type="duplicateValues" dxfId="52" priority="17"/>
  </conditionalFormatting>
  <conditionalFormatting sqref="H1:H15">
    <cfRule type="duplicateValues" dxfId="51" priority="18"/>
  </conditionalFormatting>
  <conditionalFormatting sqref="H57">
    <cfRule type="duplicateValues" dxfId="50" priority="19"/>
  </conditionalFormatting>
  <conditionalFormatting sqref="H82:H84">
    <cfRule type="duplicateValues" dxfId="49" priority="20"/>
  </conditionalFormatting>
  <conditionalFormatting sqref="H86:H90">
    <cfRule type="duplicateValues" dxfId="48" priority="21"/>
  </conditionalFormatting>
  <conditionalFormatting sqref="H86:H89">
    <cfRule type="duplicateValues" dxfId="47" priority="22"/>
  </conditionalFormatting>
  <conditionalFormatting sqref="H91:H97">
    <cfRule type="duplicateValues" dxfId="46" priority="23"/>
  </conditionalFormatting>
  <conditionalFormatting sqref="H101 H91:H99">
    <cfRule type="duplicateValues" dxfId="45" priority="24"/>
  </conditionalFormatting>
  <conditionalFormatting sqref="H100">
    <cfRule type="duplicateValues" dxfId="44" priority="25"/>
  </conditionalFormatting>
  <conditionalFormatting sqref="H103">
    <cfRule type="duplicateValues" dxfId="43" priority="26"/>
  </conditionalFormatting>
  <conditionalFormatting sqref="H91:H100">
    <cfRule type="duplicateValues" dxfId="42" priority="27"/>
  </conditionalFormatting>
  <conditionalFormatting sqref="H118:H119">
    <cfRule type="duplicateValues" dxfId="41" priority="28"/>
  </conditionalFormatting>
  <conditionalFormatting sqref="H78:H80">
    <cfRule type="duplicateValues" dxfId="40" priority="29"/>
  </conditionalFormatting>
  <conditionalFormatting sqref="H125:H127">
    <cfRule type="duplicateValues" dxfId="39" priority="30"/>
  </conditionalFormatting>
  <conditionalFormatting sqref="H110:H127 H103:H108">
    <cfRule type="duplicateValues" dxfId="38" priority="31"/>
  </conditionalFormatting>
  <conditionalFormatting sqref="H33:H41">
    <cfRule type="duplicateValues" dxfId="37" priority="32"/>
  </conditionalFormatting>
  <conditionalFormatting sqref="H54:H60 H16:H52">
    <cfRule type="duplicateValues" dxfId="36" priority="33"/>
  </conditionalFormatting>
  <conditionalFormatting sqref="H61">
    <cfRule type="duplicateValues" dxfId="35" priority="34"/>
  </conditionalFormatting>
  <conditionalFormatting sqref="H61:H77">
    <cfRule type="duplicateValues" dxfId="34" priority="3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9"/>
  <sheetViews>
    <sheetView tabSelected="1" workbookViewId="0">
      <selection activeCell="A2" sqref="A2:S289"/>
    </sheetView>
  </sheetViews>
  <sheetFormatPr baseColWidth="10" defaultColWidth="11.5703125" defaultRowHeight="15" x14ac:dyDescent="0.25"/>
  <cols>
    <col min="1" max="1" width="27.140625" style="41" bestFit="1" customWidth="1"/>
    <col min="2" max="2" width="5.42578125" style="56" bestFit="1" customWidth="1"/>
    <col min="3" max="3" width="8" style="56" bestFit="1" customWidth="1"/>
    <col min="4" max="4" width="9.42578125" style="56" bestFit="1" customWidth="1"/>
    <col min="5" max="5" width="7.5703125" style="56" bestFit="1" customWidth="1"/>
    <col min="6" max="6" width="8.7109375" style="110" customWidth="1"/>
    <col min="7" max="7" width="12.85546875" style="41" customWidth="1"/>
    <col min="8" max="8" width="35.5703125" style="41" customWidth="1"/>
    <col min="9" max="9" width="15.140625" style="41" bestFit="1" customWidth="1"/>
    <col min="10" max="10" width="18.28515625" style="41" customWidth="1"/>
    <col min="11" max="11" width="18.5703125" style="41" bestFit="1" customWidth="1"/>
    <col min="12" max="12" width="13.7109375" style="41" customWidth="1"/>
    <col min="13" max="13" width="18.28515625" style="41" customWidth="1"/>
    <col min="14" max="14" width="9.7109375" style="53" customWidth="1"/>
    <col min="15" max="15" width="6.42578125" style="41" bestFit="1" customWidth="1"/>
    <col min="16" max="16" width="7.42578125" style="41" bestFit="1" customWidth="1"/>
    <col min="17" max="17" width="6.5703125" style="41" bestFit="1" customWidth="1"/>
    <col min="18" max="18" width="9.5703125" style="31" customWidth="1"/>
    <col min="20" max="16384" width="11.5703125" style="56"/>
  </cols>
  <sheetData>
    <row r="1" spans="1:18" s="75" customFormat="1" ht="41.45" x14ac:dyDescent="0.3">
      <c r="A1" s="123" t="s">
        <v>659</v>
      </c>
      <c r="B1" s="123" t="s">
        <v>497</v>
      </c>
      <c r="C1" s="78" t="s">
        <v>498</v>
      </c>
      <c r="D1" s="78" t="s">
        <v>499</v>
      </c>
      <c r="E1" s="78" t="s">
        <v>500</v>
      </c>
      <c r="F1" s="124" t="s">
        <v>440</v>
      </c>
      <c r="G1" s="76" t="s">
        <v>389</v>
      </c>
      <c r="H1" s="77" t="s">
        <v>660</v>
      </c>
      <c r="I1" s="77" t="s">
        <v>387</v>
      </c>
      <c r="J1" s="77" t="s">
        <v>96</v>
      </c>
      <c r="K1" s="77" t="s">
        <v>220</v>
      </c>
      <c r="L1" s="77" t="s">
        <v>218</v>
      </c>
      <c r="M1" s="77" t="s">
        <v>151</v>
      </c>
      <c r="N1" s="135" t="s">
        <v>441</v>
      </c>
      <c r="O1" s="76" t="s">
        <v>4</v>
      </c>
      <c r="P1" s="76" t="s">
        <v>5</v>
      </c>
      <c r="Q1" s="76" t="s">
        <v>7</v>
      </c>
      <c r="R1" s="76" t="s">
        <v>6</v>
      </c>
    </row>
    <row r="2" spans="1:18" s="58" customFormat="1" x14ac:dyDescent="0.25">
      <c r="A2" s="229" t="s">
        <v>502</v>
      </c>
      <c r="B2" s="226">
        <v>15.2</v>
      </c>
      <c r="C2" s="227">
        <v>0.8</v>
      </c>
      <c r="D2" s="228">
        <v>5</v>
      </c>
      <c r="E2" s="225">
        <v>4</v>
      </c>
      <c r="F2" s="167" t="s">
        <v>452</v>
      </c>
      <c r="G2" s="39" t="s">
        <v>503</v>
      </c>
      <c r="H2" s="168" t="s">
        <v>502</v>
      </c>
      <c r="I2" s="169" t="s">
        <v>222</v>
      </c>
      <c r="J2" s="144" t="s">
        <v>84</v>
      </c>
      <c r="K2" s="144" t="s">
        <v>271</v>
      </c>
      <c r="L2" s="144" t="s">
        <v>272</v>
      </c>
      <c r="M2" s="169" t="s">
        <v>155</v>
      </c>
      <c r="N2" s="32">
        <v>4.3</v>
      </c>
      <c r="O2" s="171">
        <v>0</v>
      </c>
      <c r="P2" s="171">
        <v>0</v>
      </c>
      <c r="Q2" s="170">
        <v>1</v>
      </c>
      <c r="R2" s="170">
        <v>0</v>
      </c>
    </row>
    <row r="3" spans="1:18" s="58" customFormat="1" x14ac:dyDescent="0.25">
      <c r="A3" s="229" t="s">
        <v>504</v>
      </c>
      <c r="B3" s="226">
        <v>14.333299999999999</v>
      </c>
      <c r="C3" s="227">
        <v>1.76383</v>
      </c>
      <c r="D3" s="228">
        <v>3</v>
      </c>
      <c r="E3" s="225">
        <v>7</v>
      </c>
      <c r="F3" s="167" t="s">
        <v>452</v>
      </c>
      <c r="G3" s="39" t="s">
        <v>503</v>
      </c>
      <c r="H3" s="172" t="s">
        <v>504</v>
      </c>
      <c r="I3" s="169" t="s">
        <v>222</v>
      </c>
      <c r="J3" s="144" t="s">
        <v>84</v>
      </c>
      <c r="K3" s="144" t="s">
        <v>271</v>
      </c>
      <c r="L3" s="144" t="s">
        <v>272</v>
      </c>
      <c r="M3" s="169" t="s">
        <v>157</v>
      </c>
      <c r="N3" s="32">
        <v>4</v>
      </c>
      <c r="O3" s="171">
        <v>0</v>
      </c>
      <c r="P3" s="170">
        <v>0</v>
      </c>
      <c r="Q3" s="170">
        <v>1</v>
      </c>
      <c r="R3" s="170">
        <v>0</v>
      </c>
    </row>
    <row r="4" spans="1:18" s="58" customFormat="1" x14ac:dyDescent="0.25">
      <c r="A4" s="229" t="s">
        <v>505</v>
      </c>
      <c r="B4" s="226">
        <v>13.166700000000001</v>
      </c>
      <c r="C4" s="227">
        <v>2.1356799999999998</v>
      </c>
      <c r="D4" s="228">
        <v>6</v>
      </c>
      <c r="E4" s="225">
        <v>10</v>
      </c>
      <c r="F4" s="167" t="s">
        <v>452</v>
      </c>
      <c r="G4" s="39" t="s">
        <v>503</v>
      </c>
      <c r="H4" s="173" t="s">
        <v>505</v>
      </c>
      <c r="I4" s="169" t="s">
        <v>222</v>
      </c>
      <c r="J4" s="174" t="s">
        <v>84</v>
      </c>
      <c r="K4" s="174" t="s">
        <v>271</v>
      </c>
      <c r="L4" s="174" t="s">
        <v>272</v>
      </c>
      <c r="M4" s="175" t="s">
        <v>165</v>
      </c>
      <c r="N4" s="32">
        <v>7</v>
      </c>
      <c r="O4" s="171">
        <v>0</v>
      </c>
      <c r="P4" s="170">
        <v>0</v>
      </c>
      <c r="Q4" s="170">
        <v>0</v>
      </c>
      <c r="R4" s="170">
        <v>0</v>
      </c>
    </row>
    <row r="5" spans="1:18" s="58" customFormat="1" ht="16.899999999999999" customHeight="1" x14ac:dyDescent="0.25">
      <c r="A5" s="229" t="s">
        <v>506</v>
      </c>
      <c r="B5" s="226">
        <v>9.8000000000000007</v>
      </c>
      <c r="C5" s="227">
        <v>1.772</v>
      </c>
      <c r="D5" s="228">
        <v>5</v>
      </c>
      <c r="E5" s="225">
        <v>14</v>
      </c>
      <c r="F5" s="167" t="s">
        <v>452</v>
      </c>
      <c r="G5" s="39" t="s">
        <v>503</v>
      </c>
      <c r="H5" s="172" t="s">
        <v>507</v>
      </c>
      <c r="I5" s="169" t="s">
        <v>222</v>
      </c>
      <c r="J5" s="175" t="s">
        <v>82</v>
      </c>
      <c r="K5" s="175" t="s">
        <v>273</v>
      </c>
      <c r="L5" s="175" t="s">
        <v>304</v>
      </c>
      <c r="M5" s="175" t="s">
        <v>161</v>
      </c>
      <c r="N5" s="32">
        <v>1.2</v>
      </c>
      <c r="O5" s="171">
        <v>0</v>
      </c>
      <c r="P5" s="170">
        <v>0</v>
      </c>
      <c r="Q5" s="170">
        <v>1</v>
      </c>
      <c r="R5" s="170">
        <v>0</v>
      </c>
    </row>
    <row r="6" spans="1:18" s="58" customFormat="1" ht="16.899999999999999" customHeight="1" x14ac:dyDescent="0.25">
      <c r="A6" s="229" t="s">
        <v>91</v>
      </c>
      <c r="B6" s="226">
        <v>14</v>
      </c>
      <c r="C6" s="227">
        <v>0.77459999999999996</v>
      </c>
      <c r="D6" s="228">
        <v>6</v>
      </c>
      <c r="E6" s="225">
        <v>8</v>
      </c>
      <c r="F6" s="167" t="s">
        <v>452</v>
      </c>
      <c r="G6" s="39" t="s">
        <v>208</v>
      </c>
      <c r="H6" s="94" t="s">
        <v>91</v>
      </c>
      <c r="I6" s="36" t="s">
        <v>85</v>
      </c>
      <c r="J6" s="39" t="s">
        <v>87</v>
      </c>
      <c r="K6" s="39" t="s">
        <v>305</v>
      </c>
      <c r="L6" s="39" t="s">
        <v>306</v>
      </c>
      <c r="M6" s="81" t="s">
        <v>174</v>
      </c>
      <c r="N6" s="32" t="s">
        <v>454</v>
      </c>
      <c r="O6" s="93">
        <v>0</v>
      </c>
      <c r="P6" s="93">
        <v>0</v>
      </c>
      <c r="Q6" s="93">
        <v>1</v>
      </c>
      <c r="R6" s="93">
        <v>0</v>
      </c>
    </row>
    <row r="7" spans="1:18" s="58" customFormat="1" ht="16.899999999999999" customHeight="1" x14ac:dyDescent="0.25">
      <c r="A7" s="229" t="s">
        <v>508</v>
      </c>
      <c r="B7" s="226">
        <v>13</v>
      </c>
      <c r="C7" s="227">
        <v>0.44721</v>
      </c>
      <c r="D7" s="228">
        <v>6</v>
      </c>
      <c r="E7" s="225">
        <v>11</v>
      </c>
      <c r="F7" s="167" t="s">
        <v>452</v>
      </c>
      <c r="G7" s="39" t="s">
        <v>503</v>
      </c>
      <c r="H7" s="173" t="s">
        <v>508</v>
      </c>
      <c r="I7" s="169" t="s">
        <v>222</v>
      </c>
      <c r="J7" s="175" t="s">
        <v>82</v>
      </c>
      <c r="K7" s="175" t="s">
        <v>221</v>
      </c>
      <c r="L7" s="175" t="s">
        <v>509</v>
      </c>
      <c r="M7" s="169" t="s">
        <v>178</v>
      </c>
      <c r="N7" s="32">
        <v>4.5</v>
      </c>
      <c r="O7" s="171">
        <v>0</v>
      </c>
      <c r="P7" s="171">
        <v>1</v>
      </c>
      <c r="Q7" s="170">
        <v>1</v>
      </c>
      <c r="R7" s="170">
        <v>0</v>
      </c>
    </row>
    <row r="8" spans="1:18" s="58" customFormat="1" ht="18" customHeight="1" x14ac:dyDescent="0.25">
      <c r="A8" s="229" t="s">
        <v>510</v>
      </c>
      <c r="B8" s="226">
        <v>17</v>
      </c>
      <c r="C8" s="227">
        <v>0.54771999999999998</v>
      </c>
      <c r="D8" s="228">
        <v>5</v>
      </c>
      <c r="E8" s="225">
        <v>1</v>
      </c>
      <c r="F8" s="167" t="s">
        <v>452</v>
      </c>
      <c r="G8" s="39" t="s">
        <v>503</v>
      </c>
      <c r="H8" s="168" t="s">
        <v>510</v>
      </c>
      <c r="I8" s="175" t="s">
        <v>85</v>
      </c>
      <c r="J8" s="144" t="s">
        <v>86</v>
      </c>
      <c r="K8" s="144" t="s">
        <v>319</v>
      </c>
      <c r="L8" s="175" t="s">
        <v>320</v>
      </c>
      <c r="M8" s="169" t="s">
        <v>178</v>
      </c>
      <c r="N8" s="32">
        <v>4</v>
      </c>
      <c r="O8" s="171">
        <v>0</v>
      </c>
      <c r="P8" s="171">
        <v>1</v>
      </c>
      <c r="Q8" s="170">
        <v>1</v>
      </c>
      <c r="R8" s="170">
        <v>1</v>
      </c>
    </row>
    <row r="9" spans="1:18" s="58" customFormat="1" x14ac:dyDescent="0.25">
      <c r="A9" s="229" t="s">
        <v>511</v>
      </c>
      <c r="B9" s="226">
        <v>15.5</v>
      </c>
      <c r="C9" s="227">
        <v>0.97589999999999999</v>
      </c>
      <c r="D9" s="228">
        <v>6</v>
      </c>
      <c r="E9" s="225">
        <v>5</v>
      </c>
      <c r="F9" s="167" t="s">
        <v>452</v>
      </c>
      <c r="G9" s="39" t="s">
        <v>503</v>
      </c>
      <c r="H9" s="176" t="s">
        <v>512</v>
      </c>
      <c r="I9" s="169" t="s">
        <v>222</v>
      </c>
      <c r="J9" s="175" t="s">
        <v>82</v>
      </c>
      <c r="K9" s="144" t="s">
        <v>273</v>
      </c>
      <c r="L9" s="144" t="s">
        <v>325</v>
      </c>
      <c r="M9" s="169" t="s">
        <v>165</v>
      </c>
      <c r="N9" s="32">
        <v>1.2</v>
      </c>
      <c r="O9" s="171">
        <v>1</v>
      </c>
      <c r="P9" s="171">
        <v>0</v>
      </c>
      <c r="Q9" s="170">
        <v>1</v>
      </c>
      <c r="R9" s="170">
        <v>1</v>
      </c>
    </row>
    <row r="10" spans="1:18" s="58" customFormat="1" ht="18" customHeight="1" x14ac:dyDescent="0.3">
      <c r="A10" s="229" t="s">
        <v>513</v>
      </c>
      <c r="B10" s="226">
        <v>15.166700000000001</v>
      </c>
      <c r="C10" s="227">
        <v>1.1666700000000001</v>
      </c>
      <c r="D10" s="228">
        <v>6</v>
      </c>
      <c r="E10" s="225">
        <v>6</v>
      </c>
      <c r="F10" s="167" t="s">
        <v>452</v>
      </c>
      <c r="G10" s="39" t="s">
        <v>503</v>
      </c>
      <c r="H10" s="177" t="s">
        <v>513</v>
      </c>
      <c r="I10" s="169" t="s">
        <v>222</v>
      </c>
      <c r="J10" s="175" t="s">
        <v>82</v>
      </c>
      <c r="K10" s="144" t="s">
        <v>273</v>
      </c>
      <c r="L10" s="144" t="s">
        <v>325</v>
      </c>
      <c r="M10" s="175" t="s">
        <v>165</v>
      </c>
      <c r="N10" s="32">
        <v>1.2</v>
      </c>
      <c r="O10" s="171">
        <v>1</v>
      </c>
      <c r="P10" s="171">
        <v>0</v>
      </c>
      <c r="Q10" s="170">
        <v>1</v>
      </c>
      <c r="R10" s="170">
        <v>1</v>
      </c>
    </row>
    <row r="11" spans="1:18" s="58" customFormat="1" ht="30" x14ac:dyDescent="0.25">
      <c r="A11" s="229" t="s">
        <v>514</v>
      </c>
      <c r="B11" s="226">
        <v>6.5</v>
      </c>
      <c r="C11" s="227">
        <v>1.3102199999999999</v>
      </c>
      <c r="D11" s="228">
        <v>6</v>
      </c>
      <c r="E11" s="225">
        <v>16</v>
      </c>
      <c r="F11" s="167" t="s">
        <v>452</v>
      </c>
      <c r="G11" s="39" t="s">
        <v>503</v>
      </c>
      <c r="H11" s="168" t="s">
        <v>515</v>
      </c>
      <c r="I11" s="175" t="s">
        <v>85</v>
      </c>
      <c r="J11" s="144" t="s">
        <v>87</v>
      </c>
      <c r="K11" s="144" t="s">
        <v>516</v>
      </c>
      <c r="L11" s="144" t="s">
        <v>517</v>
      </c>
      <c r="M11" s="175" t="s">
        <v>165</v>
      </c>
      <c r="N11" s="32">
        <v>7</v>
      </c>
      <c r="O11" s="171">
        <v>0</v>
      </c>
      <c r="P11" s="170">
        <v>0</v>
      </c>
      <c r="Q11" s="170">
        <v>0</v>
      </c>
      <c r="R11" s="170">
        <v>0</v>
      </c>
    </row>
    <row r="12" spans="1:18" s="58" customFormat="1" ht="16.149999999999999" customHeight="1" x14ac:dyDescent="0.25">
      <c r="A12" s="229" t="s">
        <v>518</v>
      </c>
      <c r="B12" s="226">
        <v>11</v>
      </c>
      <c r="C12" s="227">
        <v>1.08012</v>
      </c>
      <c r="D12" s="228">
        <v>4</v>
      </c>
      <c r="E12" s="225">
        <v>12</v>
      </c>
      <c r="F12" s="167" t="s">
        <v>452</v>
      </c>
      <c r="G12" s="39" t="s">
        <v>503</v>
      </c>
      <c r="H12" s="178" t="s">
        <v>518</v>
      </c>
      <c r="I12" s="175" t="s">
        <v>85</v>
      </c>
      <c r="J12" s="144" t="s">
        <v>87</v>
      </c>
      <c r="K12" s="144" t="s">
        <v>384</v>
      </c>
      <c r="L12" s="144" t="s">
        <v>326</v>
      </c>
      <c r="M12" s="169" t="s">
        <v>165</v>
      </c>
      <c r="N12" s="32">
        <v>7</v>
      </c>
      <c r="O12" s="171">
        <v>0</v>
      </c>
      <c r="P12" s="170">
        <v>0</v>
      </c>
      <c r="Q12" s="170">
        <v>1</v>
      </c>
      <c r="R12" s="170">
        <v>0</v>
      </c>
    </row>
    <row r="13" spans="1:18" s="58" customFormat="1" x14ac:dyDescent="0.25">
      <c r="A13" s="229" t="s">
        <v>519</v>
      </c>
      <c r="B13" s="226">
        <v>15.25</v>
      </c>
      <c r="C13" s="227">
        <v>0.75</v>
      </c>
      <c r="D13" s="228">
        <v>4</v>
      </c>
      <c r="E13" s="225">
        <v>3</v>
      </c>
      <c r="F13" s="167" t="s">
        <v>452</v>
      </c>
      <c r="G13" s="39" t="s">
        <v>503</v>
      </c>
      <c r="H13" s="173" t="s">
        <v>519</v>
      </c>
      <c r="I13" s="175" t="s">
        <v>85</v>
      </c>
      <c r="J13" s="144" t="s">
        <v>87</v>
      </c>
      <c r="K13" s="174" t="s">
        <v>305</v>
      </c>
      <c r="L13" s="144" t="s">
        <v>339</v>
      </c>
      <c r="M13" s="169" t="s">
        <v>167</v>
      </c>
      <c r="N13" s="32">
        <v>2</v>
      </c>
      <c r="O13" s="171">
        <v>0</v>
      </c>
      <c r="P13" s="170">
        <v>1</v>
      </c>
      <c r="Q13" s="170">
        <v>0</v>
      </c>
      <c r="R13" s="170">
        <v>0</v>
      </c>
    </row>
    <row r="14" spans="1:18" s="58" customFormat="1" x14ac:dyDescent="0.25">
      <c r="A14" s="229" t="s">
        <v>520</v>
      </c>
      <c r="B14" s="226">
        <v>13.8</v>
      </c>
      <c r="C14" s="227">
        <v>2.22261</v>
      </c>
      <c r="D14" s="228">
        <v>5</v>
      </c>
      <c r="E14" s="225">
        <v>9</v>
      </c>
      <c r="F14" s="167" t="s">
        <v>452</v>
      </c>
      <c r="G14" s="39" t="s">
        <v>503</v>
      </c>
      <c r="H14" s="178" t="s">
        <v>520</v>
      </c>
      <c r="I14" s="175" t="s">
        <v>85</v>
      </c>
      <c r="J14" s="144" t="s">
        <v>86</v>
      </c>
      <c r="K14" s="144" t="s">
        <v>319</v>
      </c>
      <c r="L14" s="144" t="s">
        <v>521</v>
      </c>
      <c r="M14" s="169" t="s">
        <v>157</v>
      </c>
      <c r="N14" s="32">
        <v>7</v>
      </c>
      <c r="O14" s="171">
        <v>0</v>
      </c>
      <c r="P14" s="170">
        <v>1</v>
      </c>
      <c r="Q14" s="170">
        <v>0</v>
      </c>
      <c r="R14" s="170">
        <v>0</v>
      </c>
    </row>
    <row r="15" spans="1:18" s="58" customFormat="1" x14ac:dyDescent="0.25">
      <c r="A15" s="229" t="s">
        <v>522</v>
      </c>
      <c r="B15" s="226">
        <v>8.8332999999999995</v>
      </c>
      <c r="C15" s="227">
        <v>1.57938</v>
      </c>
      <c r="D15" s="228">
        <v>6</v>
      </c>
      <c r="E15" s="225">
        <v>15</v>
      </c>
      <c r="F15" s="167" t="s">
        <v>452</v>
      </c>
      <c r="G15" s="39" t="s">
        <v>503</v>
      </c>
      <c r="H15" s="168" t="s">
        <v>661</v>
      </c>
      <c r="I15" s="169" t="s">
        <v>222</v>
      </c>
      <c r="J15" s="175" t="s">
        <v>82</v>
      </c>
      <c r="K15" s="175" t="s">
        <v>273</v>
      </c>
      <c r="L15" s="175" t="s">
        <v>523</v>
      </c>
      <c r="M15" s="175" t="s">
        <v>177</v>
      </c>
      <c r="N15" s="32">
        <v>3.7</v>
      </c>
      <c r="O15" s="171">
        <v>0</v>
      </c>
      <c r="P15" s="171">
        <v>0</v>
      </c>
      <c r="Q15" s="171">
        <v>0</v>
      </c>
      <c r="R15" s="170">
        <v>0</v>
      </c>
    </row>
    <row r="16" spans="1:18" s="58" customFormat="1" ht="30" x14ac:dyDescent="0.25">
      <c r="A16" s="229" t="s">
        <v>524</v>
      </c>
      <c r="B16" s="226">
        <v>16.166699999999999</v>
      </c>
      <c r="C16" s="227">
        <v>1.10805</v>
      </c>
      <c r="D16" s="228">
        <v>6</v>
      </c>
      <c r="E16" s="225">
        <v>2</v>
      </c>
      <c r="F16" s="167" t="s">
        <v>452</v>
      </c>
      <c r="G16" s="39" t="s">
        <v>503</v>
      </c>
      <c r="H16" s="179" t="s">
        <v>525</v>
      </c>
      <c r="I16" s="169" t="s">
        <v>222</v>
      </c>
      <c r="J16" s="175" t="s">
        <v>82</v>
      </c>
      <c r="K16" s="144" t="s">
        <v>273</v>
      </c>
      <c r="L16" s="144" t="s">
        <v>325</v>
      </c>
      <c r="M16" s="175" t="s">
        <v>165</v>
      </c>
      <c r="N16" s="32">
        <v>2</v>
      </c>
      <c r="O16" s="171">
        <v>1</v>
      </c>
      <c r="P16" s="171">
        <v>0</v>
      </c>
      <c r="Q16" s="171">
        <v>1</v>
      </c>
      <c r="R16" s="170">
        <v>1</v>
      </c>
    </row>
    <row r="17" spans="1:18" s="58" customFormat="1" ht="13.9" customHeight="1" x14ac:dyDescent="0.25">
      <c r="A17" s="229" t="s">
        <v>526</v>
      </c>
      <c r="B17" s="226">
        <v>11</v>
      </c>
      <c r="C17" s="227">
        <v>1.09545</v>
      </c>
      <c r="D17" s="228">
        <v>5</v>
      </c>
      <c r="E17" s="225">
        <v>13</v>
      </c>
      <c r="F17" s="167" t="s">
        <v>452</v>
      </c>
      <c r="G17" s="39" t="s">
        <v>503</v>
      </c>
      <c r="H17" s="168" t="s">
        <v>526</v>
      </c>
      <c r="I17" s="169" t="s">
        <v>222</v>
      </c>
      <c r="J17" s="175" t="s">
        <v>93</v>
      </c>
      <c r="K17" s="175" t="s">
        <v>527</v>
      </c>
      <c r="L17" s="175" t="s">
        <v>528</v>
      </c>
      <c r="M17" s="169" t="s">
        <v>171</v>
      </c>
      <c r="N17" s="32">
        <v>7</v>
      </c>
      <c r="O17" s="171">
        <v>0</v>
      </c>
      <c r="P17" s="171">
        <v>1</v>
      </c>
      <c r="Q17" s="170">
        <v>0</v>
      </c>
      <c r="R17" s="170">
        <v>0</v>
      </c>
    </row>
    <row r="18" spans="1:18" s="58" customFormat="1" x14ac:dyDescent="0.25">
      <c r="A18" s="184" t="s">
        <v>529</v>
      </c>
      <c r="B18" s="181">
        <v>13.2</v>
      </c>
      <c r="C18" s="182">
        <v>1.0198</v>
      </c>
      <c r="D18" s="183">
        <v>5</v>
      </c>
      <c r="E18" s="180">
        <v>15</v>
      </c>
      <c r="F18" s="167" t="s">
        <v>466</v>
      </c>
      <c r="G18" s="39" t="s">
        <v>503</v>
      </c>
      <c r="H18" s="168" t="s">
        <v>529</v>
      </c>
      <c r="I18" s="185" t="s">
        <v>225</v>
      </c>
      <c r="J18" s="144" t="s">
        <v>231</v>
      </c>
      <c r="K18" s="144" t="s">
        <v>237</v>
      </c>
      <c r="L18" s="144" t="s">
        <v>238</v>
      </c>
      <c r="M18" s="185" t="s">
        <v>165</v>
      </c>
      <c r="N18" s="32">
        <v>2</v>
      </c>
      <c r="O18" s="186">
        <v>0</v>
      </c>
      <c r="P18" s="186">
        <v>0</v>
      </c>
      <c r="Q18" s="187">
        <v>1</v>
      </c>
      <c r="R18" s="187">
        <v>0</v>
      </c>
    </row>
    <row r="19" spans="1:18" s="58" customFormat="1" x14ac:dyDescent="0.25">
      <c r="A19" s="184" t="s">
        <v>530</v>
      </c>
      <c r="B19" s="181">
        <v>12.4</v>
      </c>
      <c r="C19" s="182">
        <v>1.1225000000000001</v>
      </c>
      <c r="D19" s="183">
        <v>5</v>
      </c>
      <c r="E19" s="180">
        <v>21</v>
      </c>
      <c r="F19" s="167" t="s">
        <v>466</v>
      </c>
      <c r="G19" s="39" t="s">
        <v>503</v>
      </c>
      <c r="H19" s="168" t="s">
        <v>530</v>
      </c>
      <c r="I19" s="185" t="s">
        <v>225</v>
      </c>
      <c r="J19" s="144" t="s">
        <v>231</v>
      </c>
      <c r="K19" s="144" t="s">
        <v>232</v>
      </c>
      <c r="L19" s="144" t="s">
        <v>233</v>
      </c>
      <c r="M19" s="188" t="s">
        <v>153</v>
      </c>
      <c r="N19" s="32">
        <v>1.2</v>
      </c>
      <c r="O19" s="186">
        <v>0</v>
      </c>
      <c r="P19" s="186">
        <v>0</v>
      </c>
      <c r="Q19" s="187">
        <v>0</v>
      </c>
      <c r="R19" s="187">
        <v>0</v>
      </c>
    </row>
    <row r="20" spans="1:18" s="58" customFormat="1" ht="14.45" customHeight="1" x14ac:dyDescent="0.25">
      <c r="A20" s="184" t="s">
        <v>531</v>
      </c>
      <c r="B20" s="181">
        <v>14.666700000000001</v>
      </c>
      <c r="C20" s="182">
        <v>0.80276999999999998</v>
      </c>
      <c r="D20" s="183">
        <v>6</v>
      </c>
      <c r="E20" s="180">
        <v>3</v>
      </c>
      <c r="F20" s="167" t="s">
        <v>466</v>
      </c>
      <c r="G20" s="39" t="s">
        <v>503</v>
      </c>
      <c r="H20" s="168" t="s">
        <v>532</v>
      </c>
      <c r="I20" s="185" t="s">
        <v>225</v>
      </c>
      <c r="J20" s="144" t="s">
        <v>0</v>
      </c>
      <c r="K20" s="144" t="s">
        <v>249</v>
      </c>
      <c r="L20" s="144" t="s">
        <v>533</v>
      </c>
      <c r="M20" s="185" t="s">
        <v>165</v>
      </c>
      <c r="N20" s="32">
        <v>1.2</v>
      </c>
      <c r="O20" s="186">
        <v>0</v>
      </c>
      <c r="P20" s="186">
        <v>0</v>
      </c>
      <c r="Q20" s="187">
        <v>1</v>
      </c>
      <c r="R20" s="187">
        <v>1</v>
      </c>
    </row>
    <row r="21" spans="1:18" s="58" customFormat="1" x14ac:dyDescent="0.25">
      <c r="A21" s="184" t="s">
        <v>534</v>
      </c>
      <c r="B21" s="181">
        <v>14.333299999999999</v>
      </c>
      <c r="C21" s="182">
        <v>0.71492</v>
      </c>
      <c r="D21" s="183">
        <v>6</v>
      </c>
      <c r="E21" s="180">
        <v>5</v>
      </c>
      <c r="F21" s="167" t="s">
        <v>466</v>
      </c>
      <c r="G21" s="39" t="s">
        <v>503</v>
      </c>
      <c r="H21" s="168" t="s">
        <v>534</v>
      </c>
      <c r="I21" s="185" t="s">
        <v>225</v>
      </c>
      <c r="J21" s="144" t="s">
        <v>231</v>
      </c>
      <c r="K21" s="144" t="s">
        <v>239</v>
      </c>
      <c r="L21" s="144" t="s">
        <v>535</v>
      </c>
      <c r="M21" s="185" t="s">
        <v>174</v>
      </c>
      <c r="N21" s="32">
        <v>1.2</v>
      </c>
      <c r="O21" s="186">
        <v>1</v>
      </c>
      <c r="P21" s="186">
        <v>1</v>
      </c>
      <c r="Q21" s="187">
        <v>0</v>
      </c>
      <c r="R21" s="187">
        <v>1</v>
      </c>
    </row>
    <row r="22" spans="1:18" s="58" customFormat="1" x14ac:dyDescent="0.25">
      <c r="A22" s="184" t="s">
        <v>536</v>
      </c>
      <c r="B22" s="181">
        <v>13.75</v>
      </c>
      <c r="C22" s="182">
        <v>0.47871000000000002</v>
      </c>
      <c r="D22" s="183">
        <v>4</v>
      </c>
      <c r="E22" s="180">
        <v>10</v>
      </c>
      <c r="F22" s="167" t="s">
        <v>466</v>
      </c>
      <c r="G22" s="39" t="s">
        <v>503</v>
      </c>
      <c r="H22" s="168" t="s">
        <v>536</v>
      </c>
      <c r="I22" s="185" t="s">
        <v>225</v>
      </c>
      <c r="J22" s="144" t="s">
        <v>231</v>
      </c>
      <c r="K22" s="144" t="s">
        <v>237</v>
      </c>
      <c r="L22" s="144" t="s">
        <v>537</v>
      </c>
      <c r="M22" s="185" t="s">
        <v>174</v>
      </c>
      <c r="N22" s="32">
        <v>1</v>
      </c>
      <c r="O22" s="186">
        <v>0</v>
      </c>
      <c r="P22" s="186">
        <v>0</v>
      </c>
      <c r="Q22" s="187">
        <v>1</v>
      </c>
      <c r="R22" s="187">
        <v>0</v>
      </c>
    </row>
    <row r="23" spans="1:18" s="58" customFormat="1" x14ac:dyDescent="0.25">
      <c r="A23" s="184" t="s">
        <v>538</v>
      </c>
      <c r="B23" s="181">
        <v>14.25</v>
      </c>
      <c r="C23" s="182">
        <v>0.75</v>
      </c>
      <c r="D23" s="183">
        <v>4</v>
      </c>
      <c r="E23" s="180">
        <v>6</v>
      </c>
      <c r="F23" s="167" t="s">
        <v>466</v>
      </c>
      <c r="G23" s="39" t="s">
        <v>503</v>
      </c>
      <c r="H23" s="168" t="s">
        <v>538</v>
      </c>
      <c r="I23" s="185" t="s">
        <v>225</v>
      </c>
      <c r="J23" s="144" t="s">
        <v>231</v>
      </c>
      <c r="K23" s="144" t="s">
        <v>237</v>
      </c>
      <c r="L23" s="144" t="s">
        <v>537</v>
      </c>
      <c r="M23" s="179" t="s">
        <v>179</v>
      </c>
      <c r="N23" s="32">
        <v>2</v>
      </c>
      <c r="O23" s="186">
        <v>0</v>
      </c>
      <c r="P23" s="186">
        <v>0</v>
      </c>
      <c r="Q23" s="187">
        <v>1</v>
      </c>
      <c r="R23" s="187">
        <v>0</v>
      </c>
    </row>
    <row r="24" spans="1:18" s="58" customFormat="1" ht="16.899999999999999" customHeight="1" x14ac:dyDescent="0.25">
      <c r="A24" s="184" t="s">
        <v>539</v>
      </c>
      <c r="B24" s="181">
        <v>12.8</v>
      </c>
      <c r="C24" s="182">
        <v>0.37417</v>
      </c>
      <c r="D24" s="183">
        <v>5</v>
      </c>
      <c r="E24" s="180">
        <v>17</v>
      </c>
      <c r="F24" s="167" t="s">
        <v>466</v>
      </c>
      <c r="G24" s="39" t="s">
        <v>503</v>
      </c>
      <c r="H24" s="168" t="s">
        <v>539</v>
      </c>
      <c r="I24" s="185" t="s">
        <v>225</v>
      </c>
      <c r="J24" s="144" t="s">
        <v>231</v>
      </c>
      <c r="K24" s="144" t="s">
        <v>239</v>
      </c>
      <c r="L24" s="144" t="s">
        <v>240</v>
      </c>
      <c r="M24" s="179" t="s">
        <v>155</v>
      </c>
      <c r="N24" s="32">
        <v>1</v>
      </c>
      <c r="O24" s="186">
        <v>0</v>
      </c>
      <c r="P24" s="186">
        <v>0</v>
      </c>
      <c r="Q24" s="187">
        <v>1</v>
      </c>
      <c r="R24" s="187">
        <v>0</v>
      </c>
    </row>
    <row r="25" spans="1:18" s="58" customFormat="1" ht="19.149999999999999" customHeight="1" x14ac:dyDescent="0.25">
      <c r="A25" s="184" t="s">
        <v>540</v>
      </c>
      <c r="B25" s="181">
        <v>14.6</v>
      </c>
      <c r="C25" s="182">
        <v>0.50990000000000002</v>
      </c>
      <c r="D25" s="183">
        <v>5</v>
      </c>
      <c r="E25" s="180">
        <v>4</v>
      </c>
      <c r="F25" s="167" t="s">
        <v>466</v>
      </c>
      <c r="G25" s="39" t="s">
        <v>503</v>
      </c>
      <c r="H25" s="168" t="s">
        <v>541</v>
      </c>
      <c r="I25" s="185" t="s">
        <v>225</v>
      </c>
      <c r="J25" s="144" t="s">
        <v>231</v>
      </c>
      <c r="K25" s="144" t="s">
        <v>232</v>
      </c>
      <c r="L25" s="144" t="s">
        <v>233</v>
      </c>
      <c r="M25" s="185" t="s">
        <v>157</v>
      </c>
      <c r="N25" s="32">
        <v>2</v>
      </c>
      <c r="O25" s="186">
        <v>0</v>
      </c>
      <c r="P25" s="186">
        <v>0</v>
      </c>
      <c r="Q25" s="187">
        <v>1</v>
      </c>
      <c r="R25" s="187">
        <v>1</v>
      </c>
    </row>
    <row r="26" spans="1:18" s="58" customFormat="1" ht="17.45" customHeight="1" x14ac:dyDescent="0.25">
      <c r="A26" s="184" t="s">
        <v>542</v>
      </c>
      <c r="B26" s="181">
        <v>13.4</v>
      </c>
      <c r="C26" s="182">
        <v>0.74833000000000005</v>
      </c>
      <c r="D26" s="183">
        <v>5</v>
      </c>
      <c r="E26" s="180">
        <v>13</v>
      </c>
      <c r="F26" s="167" t="s">
        <v>466</v>
      </c>
      <c r="G26" s="39" t="s">
        <v>503</v>
      </c>
      <c r="H26" s="188" t="s">
        <v>543</v>
      </c>
      <c r="I26" s="185" t="s">
        <v>225</v>
      </c>
      <c r="J26" s="146" t="s">
        <v>231</v>
      </c>
      <c r="K26" s="144" t="s">
        <v>245</v>
      </c>
      <c r="L26" s="144" t="s">
        <v>247</v>
      </c>
      <c r="M26" s="185" t="s">
        <v>165</v>
      </c>
      <c r="N26" s="32">
        <v>1</v>
      </c>
      <c r="O26" s="186">
        <v>1</v>
      </c>
      <c r="P26" s="186">
        <v>0</v>
      </c>
      <c r="Q26" s="187">
        <v>1</v>
      </c>
      <c r="R26" s="187">
        <v>0</v>
      </c>
    </row>
    <row r="27" spans="1:18" s="58" customFormat="1" ht="16.899999999999999" customHeight="1" x14ac:dyDescent="0.25">
      <c r="A27" s="184" t="s">
        <v>544</v>
      </c>
      <c r="B27" s="181">
        <v>12</v>
      </c>
      <c r="C27" s="182">
        <v>0.57735000000000003</v>
      </c>
      <c r="D27" s="183">
        <v>3</v>
      </c>
      <c r="E27" s="180">
        <v>23</v>
      </c>
      <c r="F27" s="167" t="s">
        <v>466</v>
      </c>
      <c r="G27" s="39" t="s">
        <v>503</v>
      </c>
      <c r="H27" s="168" t="s">
        <v>544</v>
      </c>
      <c r="I27" s="185" t="s">
        <v>225</v>
      </c>
      <c r="J27" s="144" t="s">
        <v>231</v>
      </c>
      <c r="K27" s="144" t="s">
        <v>239</v>
      </c>
      <c r="L27" s="144" t="s">
        <v>240</v>
      </c>
      <c r="M27" s="185" t="s">
        <v>155</v>
      </c>
      <c r="N27" s="32">
        <v>2</v>
      </c>
      <c r="O27" s="186">
        <v>0</v>
      </c>
      <c r="P27" s="186">
        <v>0</v>
      </c>
      <c r="Q27" s="187">
        <v>0</v>
      </c>
      <c r="R27" s="187">
        <v>0</v>
      </c>
    </row>
    <row r="28" spans="1:18" s="58" customFormat="1" ht="14.45" customHeight="1" x14ac:dyDescent="0.25">
      <c r="A28" s="184" t="s">
        <v>545</v>
      </c>
      <c r="B28" s="181">
        <v>12.4</v>
      </c>
      <c r="C28" s="182">
        <v>1.36382</v>
      </c>
      <c r="D28" s="183">
        <v>5</v>
      </c>
      <c r="E28" s="180">
        <v>22</v>
      </c>
      <c r="F28" s="167" t="s">
        <v>466</v>
      </c>
      <c r="G28" s="39" t="s">
        <v>503</v>
      </c>
      <c r="H28" s="168" t="s">
        <v>545</v>
      </c>
      <c r="I28" s="185" t="s">
        <v>225</v>
      </c>
      <c r="J28" s="144" t="s">
        <v>231</v>
      </c>
      <c r="K28" s="144" t="s">
        <v>232</v>
      </c>
      <c r="L28" s="144" t="s">
        <v>233</v>
      </c>
      <c r="M28" s="189" t="s">
        <v>157</v>
      </c>
      <c r="N28" s="32">
        <v>2</v>
      </c>
      <c r="O28" s="186">
        <v>0</v>
      </c>
      <c r="P28" s="186">
        <v>0</v>
      </c>
      <c r="Q28" s="187">
        <v>1</v>
      </c>
      <c r="R28" s="187">
        <v>1</v>
      </c>
    </row>
    <row r="29" spans="1:18" s="58" customFormat="1" x14ac:dyDescent="0.25">
      <c r="A29" s="184" t="s">
        <v>546</v>
      </c>
      <c r="B29" s="181">
        <v>14.8</v>
      </c>
      <c r="C29" s="182">
        <v>0.73485</v>
      </c>
      <c r="D29" s="183">
        <v>5</v>
      </c>
      <c r="E29" s="180">
        <v>2</v>
      </c>
      <c r="F29" s="167" t="s">
        <v>466</v>
      </c>
      <c r="G29" s="39" t="s">
        <v>503</v>
      </c>
      <c r="H29" s="168" t="s">
        <v>546</v>
      </c>
      <c r="I29" s="185" t="s">
        <v>225</v>
      </c>
      <c r="J29" s="144" t="s">
        <v>231</v>
      </c>
      <c r="K29" s="144" t="s">
        <v>239</v>
      </c>
      <c r="L29" s="146" t="s">
        <v>547</v>
      </c>
      <c r="M29" s="185" t="s">
        <v>155</v>
      </c>
      <c r="N29" s="32">
        <v>2</v>
      </c>
      <c r="O29" s="186">
        <v>0</v>
      </c>
      <c r="P29" s="186">
        <v>0</v>
      </c>
      <c r="Q29" s="187">
        <v>1</v>
      </c>
      <c r="R29" s="187">
        <v>0</v>
      </c>
    </row>
    <row r="30" spans="1:18" s="58" customFormat="1" x14ac:dyDescent="0.25">
      <c r="A30" s="184" t="s">
        <v>548</v>
      </c>
      <c r="B30" s="181">
        <v>13.8</v>
      </c>
      <c r="C30" s="182">
        <v>0.91652</v>
      </c>
      <c r="D30" s="183">
        <v>5</v>
      </c>
      <c r="E30" s="180">
        <v>9</v>
      </c>
      <c r="F30" s="167" t="s">
        <v>466</v>
      </c>
      <c r="G30" s="39" t="s">
        <v>503</v>
      </c>
      <c r="H30" s="168" t="s">
        <v>548</v>
      </c>
      <c r="I30" s="185" t="s">
        <v>225</v>
      </c>
      <c r="J30" s="144" t="s">
        <v>231</v>
      </c>
      <c r="K30" s="144" t="s">
        <v>239</v>
      </c>
      <c r="L30" s="144" t="s">
        <v>248</v>
      </c>
      <c r="M30" s="185" t="s">
        <v>165</v>
      </c>
      <c r="N30" s="32">
        <v>1</v>
      </c>
      <c r="O30" s="186">
        <v>0</v>
      </c>
      <c r="P30" s="186">
        <v>0</v>
      </c>
      <c r="Q30" s="187">
        <v>1</v>
      </c>
      <c r="R30" s="187">
        <v>0</v>
      </c>
    </row>
    <row r="31" spans="1:18" s="58" customFormat="1" x14ac:dyDescent="0.25">
      <c r="A31" s="184" t="s">
        <v>549</v>
      </c>
      <c r="B31" s="181">
        <v>10.8</v>
      </c>
      <c r="C31" s="182">
        <v>0.96953999999999996</v>
      </c>
      <c r="D31" s="183">
        <v>5</v>
      </c>
      <c r="E31" s="180">
        <v>27</v>
      </c>
      <c r="F31" s="167" t="s">
        <v>466</v>
      </c>
      <c r="G31" s="39" t="s">
        <v>503</v>
      </c>
      <c r="H31" s="176" t="s">
        <v>549</v>
      </c>
      <c r="I31" s="185" t="s">
        <v>225</v>
      </c>
      <c r="J31" s="144" t="s">
        <v>231</v>
      </c>
      <c r="K31" s="144" t="s">
        <v>232</v>
      </c>
      <c r="L31" s="144" t="s">
        <v>233</v>
      </c>
      <c r="M31" s="185" t="s">
        <v>153</v>
      </c>
      <c r="N31" s="32">
        <v>2</v>
      </c>
      <c r="O31" s="186">
        <v>1</v>
      </c>
      <c r="P31" s="186">
        <v>1</v>
      </c>
      <c r="Q31" s="190">
        <v>0</v>
      </c>
      <c r="R31" s="187">
        <v>1</v>
      </c>
    </row>
    <row r="32" spans="1:18" s="58" customFormat="1" x14ac:dyDescent="0.25">
      <c r="A32" s="184" t="s">
        <v>550</v>
      </c>
      <c r="B32" s="181">
        <v>13.6714</v>
      </c>
      <c r="C32" s="182">
        <v>0.42857000000000001</v>
      </c>
      <c r="D32" s="183">
        <v>6</v>
      </c>
      <c r="E32" s="180">
        <v>12</v>
      </c>
      <c r="F32" s="167" t="s">
        <v>466</v>
      </c>
      <c r="G32" s="39" t="s">
        <v>503</v>
      </c>
      <c r="H32" s="168" t="s">
        <v>550</v>
      </c>
      <c r="I32" s="185" t="s">
        <v>225</v>
      </c>
      <c r="J32" s="144" t="s">
        <v>231</v>
      </c>
      <c r="K32" s="144" t="s">
        <v>239</v>
      </c>
      <c r="L32" s="144" t="s">
        <v>248</v>
      </c>
      <c r="M32" s="188" t="s">
        <v>165</v>
      </c>
      <c r="N32" s="32">
        <v>2</v>
      </c>
      <c r="O32" s="186">
        <v>0</v>
      </c>
      <c r="P32" s="186">
        <v>0</v>
      </c>
      <c r="Q32" s="187">
        <v>1</v>
      </c>
      <c r="R32" s="187">
        <v>0</v>
      </c>
    </row>
    <row r="33" spans="1:18" s="58" customFormat="1" ht="13.9" customHeight="1" x14ac:dyDescent="0.25">
      <c r="A33" s="184" t="s">
        <v>551</v>
      </c>
      <c r="B33" s="181">
        <v>11.6</v>
      </c>
      <c r="C33" s="182">
        <v>0.74833000000000005</v>
      </c>
      <c r="D33" s="183">
        <v>5</v>
      </c>
      <c r="E33" s="180">
        <v>25</v>
      </c>
      <c r="F33" s="167" t="s">
        <v>466</v>
      </c>
      <c r="G33" s="39" t="s">
        <v>503</v>
      </c>
      <c r="H33" s="168" t="s">
        <v>662</v>
      </c>
      <c r="I33" s="185" t="s">
        <v>225</v>
      </c>
      <c r="J33" s="144" t="s">
        <v>231</v>
      </c>
      <c r="K33" s="144" t="s">
        <v>239</v>
      </c>
      <c r="L33" s="144" t="s">
        <v>552</v>
      </c>
      <c r="M33" s="185" t="s">
        <v>165</v>
      </c>
      <c r="N33" s="32">
        <v>2</v>
      </c>
      <c r="O33" s="186">
        <v>1</v>
      </c>
      <c r="P33" s="186">
        <v>0</v>
      </c>
      <c r="Q33" s="187">
        <v>1</v>
      </c>
      <c r="R33" s="187">
        <v>0</v>
      </c>
    </row>
    <row r="34" spans="1:18" s="58" customFormat="1" ht="16.899999999999999" customHeight="1" x14ac:dyDescent="0.25">
      <c r="A34" s="184" t="s">
        <v>553</v>
      </c>
      <c r="B34" s="181">
        <v>14</v>
      </c>
      <c r="C34" s="182">
        <v>0.77459999999999996</v>
      </c>
      <c r="D34" s="183">
        <v>6</v>
      </c>
      <c r="E34" s="180">
        <v>8</v>
      </c>
      <c r="F34" s="167" t="s">
        <v>466</v>
      </c>
      <c r="G34" s="39" t="s">
        <v>503</v>
      </c>
      <c r="H34" s="168" t="s">
        <v>553</v>
      </c>
      <c r="I34" s="185" t="s">
        <v>225</v>
      </c>
      <c r="J34" s="144" t="s">
        <v>231</v>
      </c>
      <c r="K34" s="144" t="s">
        <v>239</v>
      </c>
      <c r="L34" s="144" t="s">
        <v>554</v>
      </c>
      <c r="M34" s="185" t="s">
        <v>177</v>
      </c>
      <c r="N34" s="32">
        <v>7</v>
      </c>
      <c r="O34" s="186">
        <v>0</v>
      </c>
      <c r="P34" s="186">
        <v>0</v>
      </c>
      <c r="Q34" s="187">
        <v>1</v>
      </c>
      <c r="R34" s="187">
        <v>0</v>
      </c>
    </row>
    <row r="35" spans="1:18" s="58" customFormat="1" x14ac:dyDescent="0.25">
      <c r="A35" s="184" t="s">
        <v>555</v>
      </c>
      <c r="B35" s="181">
        <v>12.75</v>
      </c>
      <c r="C35" s="182">
        <v>1.7017100000000001</v>
      </c>
      <c r="D35" s="183">
        <v>4</v>
      </c>
      <c r="E35" s="180">
        <v>18</v>
      </c>
      <c r="F35" s="167" t="s">
        <v>466</v>
      </c>
      <c r="G35" s="39" t="s">
        <v>503</v>
      </c>
      <c r="H35" s="168" t="s">
        <v>556</v>
      </c>
      <c r="I35" s="185" t="s">
        <v>225</v>
      </c>
      <c r="J35" s="144" t="s">
        <v>0</v>
      </c>
      <c r="K35" s="144" t="s">
        <v>229</v>
      </c>
      <c r="L35" s="144" t="s">
        <v>557</v>
      </c>
      <c r="M35" s="185" t="s">
        <v>165</v>
      </c>
      <c r="N35" s="32" t="s">
        <v>558</v>
      </c>
      <c r="O35" s="186">
        <v>1</v>
      </c>
      <c r="P35" s="186">
        <v>1</v>
      </c>
      <c r="Q35" s="187">
        <v>1</v>
      </c>
      <c r="R35" s="187">
        <v>1</v>
      </c>
    </row>
    <row r="36" spans="1:18" s="58" customFormat="1" x14ac:dyDescent="0.25">
      <c r="A36" s="184" t="s">
        <v>559</v>
      </c>
      <c r="B36" s="181">
        <v>12.5</v>
      </c>
      <c r="C36" s="182">
        <v>1.19024</v>
      </c>
      <c r="D36" s="183">
        <v>4</v>
      </c>
      <c r="E36" s="180">
        <v>20</v>
      </c>
      <c r="F36" s="167" t="s">
        <v>466</v>
      </c>
      <c r="G36" s="39" t="s">
        <v>503</v>
      </c>
      <c r="H36" s="168" t="s">
        <v>663</v>
      </c>
      <c r="I36" s="185" t="s">
        <v>225</v>
      </c>
      <c r="J36" s="144" t="s">
        <v>231</v>
      </c>
      <c r="K36" s="144" t="s">
        <v>251</v>
      </c>
      <c r="L36" s="144" t="s">
        <v>252</v>
      </c>
      <c r="M36" s="185" t="s">
        <v>560</v>
      </c>
      <c r="N36" s="32">
        <v>2</v>
      </c>
      <c r="O36" s="186">
        <v>0</v>
      </c>
      <c r="P36" s="186">
        <v>0</v>
      </c>
      <c r="Q36" s="187">
        <v>1</v>
      </c>
      <c r="R36" s="187">
        <v>0</v>
      </c>
    </row>
    <row r="37" spans="1:18" s="58" customFormat="1" x14ac:dyDescent="0.25">
      <c r="A37" s="184" t="s">
        <v>561</v>
      </c>
      <c r="B37" s="181">
        <v>14.2</v>
      </c>
      <c r="C37" s="182">
        <v>0.37417</v>
      </c>
      <c r="D37" s="183">
        <v>5</v>
      </c>
      <c r="E37" s="180">
        <v>7</v>
      </c>
      <c r="F37" s="167" t="s">
        <v>466</v>
      </c>
      <c r="G37" s="39" t="s">
        <v>503</v>
      </c>
      <c r="H37" s="168" t="s">
        <v>561</v>
      </c>
      <c r="I37" s="185" t="s">
        <v>225</v>
      </c>
      <c r="J37" s="144" t="s">
        <v>231</v>
      </c>
      <c r="K37" s="144" t="s">
        <v>239</v>
      </c>
      <c r="L37" s="144" t="s">
        <v>240</v>
      </c>
      <c r="M37" s="185" t="s">
        <v>155</v>
      </c>
      <c r="N37" s="32">
        <v>2</v>
      </c>
      <c r="O37" s="186">
        <v>0</v>
      </c>
      <c r="P37" s="186">
        <v>0</v>
      </c>
      <c r="Q37" s="187">
        <v>1</v>
      </c>
      <c r="R37" s="187">
        <v>1</v>
      </c>
    </row>
    <row r="38" spans="1:18" s="58" customFormat="1" ht="30" x14ac:dyDescent="0.25">
      <c r="A38" s="184" t="s">
        <v>562</v>
      </c>
      <c r="B38" s="181">
        <v>15.2</v>
      </c>
      <c r="C38" s="182">
        <v>0.58309999999999995</v>
      </c>
      <c r="D38" s="183">
        <v>5</v>
      </c>
      <c r="E38" s="180">
        <v>1</v>
      </c>
      <c r="F38" s="167" t="s">
        <v>466</v>
      </c>
      <c r="G38" s="39" t="s">
        <v>503</v>
      </c>
      <c r="H38" s="168" t="s">
        <v>563</v>
      </c>
      <c r="I38" s="185" t="s">
        <v>225</v>
      </c>
      <c r="J38" s="144" t="s">
        <v>231</v>
      </c>
      <c r="K38" s="144" t="s">
        <v>239</v>
      </c>
      <c r="L38" s="144" t="s">
        <v>564</v>
      </c>
      <c r="M38" s="185" t="s">
        <v>157</v>
      </c>
      <c r="N38" s="32">
        <v>1.2</v>
      </c>
      <c r="O38" s="186">
        <v>1</v>
      </c>
      <c r="P38" s="186">
        <v>0</v>
      </c>
      <c r="Q38" s="187">
        <v>0</v>
      </c>
      <c r="R38" s="187">
        <v>1</v>
      </c>
    </row>
    <row r="39" spans="1:18" s="58" customFormat="1" x14ac:dyDescent="0.25">
      <c r="A39" s="184" t="s">
        <v>565</v>
      </c>
      <c r="B39" s="181">
        <v>11.5</v>
      </c>
      <c r="C39" s="182">
        <v>1.93649</v>
      </c>
      <c r="D39" s="183">
        <v>4</v>
      </c>
      <c r="E39" s="180">
        <v>26</v>
      </c>
      <c r="F39" s="167" t="s">
        <v>466</v>
      </c>
      <c r="G39" s="39" t="s">
        <v>503</v>
      </c>
      <c r="H39" s="168" t="s">
        <v>664</v>
      </c>
      <c r="I39" s="185" t="s">
        <v>225</v>
      </c>
      <c r="J39" s="144" t="s">
        <v>231</v>
      </c>
      <c r="K39" s="144" t="s">
        <v>239</v>
      </c>
      <c r="L39" s="144" t="s">
        <v>554</v>
      </c>
      <c r="M39" s="185" t="s">
        <v>178</v>
      </c>
      <c r="N39" s="32">
        <v>7</v>
      </c>
      <c r="O39" s="186">
        <v>0</v>
      </c>
      <c r="P39" s="186">
        <v>0</v>
      </c>
      <c r="Q39" s="187">
        <v>1</v>
      </c>
      <c r="R39" s="187">
        <v>0</v>
      </c>
    </row>
    <row r="40" spans="1:18" s="58" customFormat="1" x14ac:dyDescent="0.25">
      <c r="A40" s="184" t="s">
        <v>566</v>
      </c>
      <c r="B40" s="181">
        <v>10.199999999999999</v>
      </c>
      <c r="C40" s="182">
        <v>1.8</v>
      </c>
      <c r="D40" s="183">
        <v>5</v>
      </c>
      <c r="E40" s="180">
        <v>28</v>
      </c>
      <c r="F40" s="167" t="s">
        <v>466</v>
      </c>
      <c r="G40" s="39" t="s">
        <v>503</v>
      </c>
      <c r="H40" s="168" t="s">
        <v>566</v>
      </c>
      <c r="I40" s="185" t="s">
        <v>225</v>
      </c>
      <c r="J40" s="144" t="s">
        <v>231</v>
      </c>
      <c r="K40" s="144" t="s">
        <v>239</v>
      </c>
      <c r="L40" s="144" t="s">
        <v>554</v>
      </c>
      <c r="M40" s="185" t="s">
        <v>177</v>
      </c>
      <c r="N40" s="32">
        <v>4.5</v>
      </c>
      <c r="O40" s="186">
        <v>0</v>
      </c>
      <c r="P40" s="186">
        <v>0</v>
      </c>
      <c r="Q40" s="187">
        <v>1</v>
      </c>
      <c r="R40" s="187">
        <v>0</v>
      </c>
    </row>
    <row r="41" spans="1:18" s="58" customFormat="1" x14ac:dyDescent="0.25">
      <c r="A41" s="184" t="s">
        <v>567</v>
      </c>
      <c r="B41" s="181">
        <v>13</v>
      </c>
      <c r="C41" s="182">
        <v>0.8165</v>
      </c>
      <c r="D41" s="183">
        <v>4</v>
      </c>
      <c r="E41" s="180">
        <v>16</v>
      </c>
      <c r="F41" s="167" t="s">
        <v>466</v>
      </c>
      <c r="G41" s="39" t="s">
        <v>503</v>
      </c>
      <c r="H41" s="168" t="s">
        <v>567</v>
      </c>
      <c r="I41" s="185" t="s">
        <v>225</v>
      </c>
      <c r="J41" s="144" t="s">
        <v>1</v>
      </c>
      <c r="K41" s="144" t="s">
        <v>242</v>
      </c>
      <c r="L41" s="144" t="s">
        <v>266</v>
      </c>
      <c r="M41" s="185" t="s">
        <v>197</v>
      </c>
      <c r="N41" s="32" t="s">
        <v>454</v>
      </c>
      <c r="O41" s="186">
        <v>0</v>
      </c>
      <c r="P41" s="186">
        <v>1</v>
      </c>
      <c r="Q41" s="187">
        <v>1</v>
      </c>
      <c r="R41" s="187">
        <v>1</v>
      </c>
    </row>
    <row r="42" spans="1:18" s="58" customFormat="1" x14ac:dyDescent="0.25">
      <c r="A42" s="184" t="s">
        <v>568</v>
      </c>
      <c r="B42" s="181">
        <v>13.75</v>
      </c>
      <c r="C42" s="182">
        <v>1.5478499999999999</v>
      </c>
      <c r="D42" s="183">
        <v>4</v>
      </c>
      <c r="E42" s="180">
        <v>11</v>
      </c>
      <c r="F42" s="167" t="s">
        <v>466</v>
      </c>
      <c r="G42" s="39" t="s">
        <v>503</v>
      </c>
      <c r="H42" s="191" t="s">
        <v>569</v>
      </c>
      <c r="I42" s="185" t="s">
        <v>225</v>
      </c>
      <c r="J42" s="144" t="s">
        <v>231</v>
      </c>
      <c r="K42" s="144" t="s">
        <v>232</v>
      </c>
      <c r="L42" s="144" t="s">
        <v>233</v>
      </c>
      <c r="M42" s="185" t="s">
        <v>153</v>
      </c>
      <c r="N42" s="32">
        <v>2</v>
      </c>
      <c r="O42" s="186">
        <v>0</v>
      </c>
      <c r="P42" s="186">
        <v>0</v>
      </c>
      <c r="Q42" s="187">
        <v>1</v>
      </c>
      <c r="R42" s="187">
        <v>0</v>
      </c>
    </row>
    <row r="43" spans="1:18" s="58" customFormat="1" x14ac:dyDescent="0.25">
      <c r="A43" s="184" t="s">
        <v>570</v>
      </c>
      <c r="B43" s="181">
        <v>12.75</v>
      </c>
      <c r="C43" s="182">
        <v>0.25</v>
      </c>
      <c r="D43" s="183">
        <v>4</v>
      </c>
      <c r="E43" s="180">
        <v>19</v>
      </c>
      <c r="F43" s="167" t="s">
        <v>466</v>
      </c>
      <c r="G43" s="39" t="s">
        <v>503</v>
      </c>
      <c r="H43" s="168" t="s">
        <v>570</v>
      </c>
      <c r="I43" s="185" t="s">
        <v>225</v>
      </c>
      <c r="J43" s="144" t="s">
        <v>231</v>
      </c>
      <c r="K43" s="144" t="s">
        <v>239</v>
      </c>
      <c r="L43" s="144" t="s">
        <v>255</v>
      </c>
      <c r="M43" s="185" t="s">
        <v>165</v>
      </c>
      <c r="N43" s="32">
        <v>1</v>
      </c>
      <c r="O43" s="186">
        <v>0</v>
      </c>
      <c r="P43" s="186">
        <v>0</v>
      </c>
      <c r="Q43" s="187">
        <v>0</v>
      </c>
      <c r="R43" s="187">
        <v>0</v>
      </c>
    </row>
    <row r="44" spans="1:18" s="58" customFormat="1" x14ac:dyDescent="0.25">
      <c r="A44" s="184" t="s">
        <v>571</v>
      </c>
      <c r="B44" s="181">
        <v>11.75</v>
      </c>
      <c r="C44" s="182">
        <v>0.85390999999999995</v>
      </c>
      <c r="D44" s="183">
        <v>4</v>
      </c>
      <c r="E44" s="180">
        <v>24</v>
      </c>
      <c r="F44" s="167" t="s">
        <v>466</v>
      </c>
      <c r="G44" s="39" t="s">
        <v>503</v>
      </c>
      <c r="H44" s="191" t="s">
        <v>572</v>
      </c>
      <c r="I44" s="185" t="s">
        <v>225</v>
      </c>
      <c r="J44" s="144" t="s">
        <v>231</v>
      </c>
      <c r="K44" s="144" t="s">
        <v>232</v>
      </c>
      <c r="L44" s="144" t="s">
        <v>233</v>
      </c>
      <c r="M44" s="185" t="s">
        <v>153</v>
      </c>
      <c r="N44" s="32">
        <v>1</v>
      </c>
      <c r="O44" s="186">
        <v>0</v>
      </c>
      <c r="P44" s="186">
        <v>0</v>
      </c>
      <c r="Q44" s="187">
        <v>1</v>
      </c>
      <c r="R44" s="187">
        <v>0</v>
      </c>
    </row>
    <row r="45" spans="1:18" s="58" customFormat="1" ht="30" x14ac:dyDescent="0.25">
      <c r="A45" s="184" t="s">
        <v>573</v>
      </c>
      <c r="B45" s="181">
        <v>13.333299999999999</v>
      </c>
      <c r="C45" s="182">
        <v>0.88192000000000004</v>
      </c>
      <c r="D45" s="183">
        <v>3</v>
      </c>
      <c r="E45" s="180">
        <v>14</v>
      </c>
      <c r="F45" s="167" t="s">
        <v>466</v>
      </c>
      <c r="G45" s="39" t="s">
        <v>503</v>
      </c>
      <c r="H45" s="168" t="s">
        <v>573</v>
      </c>
      <c r="I45" s="185" t="s">
        <v>225</v>
      </c>
      <c r="J45" s="144" t="s">
        <v>231</v>
      </c>
      <c r="K45" s="144" t="s">
        <v>245</v>
      </c>
      <c r="L45" s="144" t="s">
        <v>247</v>
      </c>
      <c r="M45" s="185" t="s">
        <v>165</v>
      </c>
      <c r="N45" s="32">
        <v>1</v>
      </c>
      <c r="O45" s="186">
        <v>0</v>
      </c>
      <c r="P45" s="186">
        <v>0</v>
      </c>
      <c r="Q45" s="187">
        <v>1</v>
      </c>
      <c r="R45" s="187">
        <v>0</v>
      </c>
    </row>
    <row r="46" spans="1:18" s="58" customFormat="1" x14ac:dyDescent="0.25">
      <c r="A46" s="196" t="s">
        <v>574</v>
      </c>
      <c r="B46" s="193">
        <v>7.5</v>
      </c>
      <c r="C46" s="194">
        <v>1.3228800000000001</v>
      </c>
      <c r="D46" s="195">
        <v>4</v>
      </c>
      <c r="E46" s="192">
        <v>14</v>
      </c>
      <c r="F46" s="167" t="s">
        <v>150</v>
      </c>
      <c r="G46" s="39" t="s">
        <v>503</v>
      </c>
      <c r="H46" s="197" t="s">
        <v>574</v>
      </c>
      <c r="I46" s="198" t="s">
        <v>386</v>
      </c>
      <c r="J46" s="198" t="s">
        <v>364</v>
      </c>
      <c r="K46" s="198" t="s">
        <v>365</v>
      </c>
      <c r="L46" s="142" t="s">
        <v>575</v>
      </c>
      <c r="M46" s="145" t="s">
        <v>155</v>
      </c>
      <c r="N46" s="32">
        <v>2.1</v>
      </c>
      <c r="O46" s="143">
        <v>0</v>
      </c>
      <c r="P46" s="143">
        <v>0</v>
      </c>
      <c r="Q46" s="143">
        <v>1</v>
      </c>
      <c r="R46" s="143">
        <v>0</v>
      </c>
    </row>
    <row r="47" spans="1:18" s="58" customFormat="1" x14ac:dyDescent="0.25">
      <c r="A47" s="196" t="s">
        <v>576</v>
      </c>
      <c r="B47" s="193">
        <v>12.4</v>
      </c>
      <c r="C47" s="194">
        <v>1.8868</v>
      </c>
      <c r="D47" s="195">
        <v>5</v>
      </c>
      <c r="E47" s="192">
        <v>1</v>
      </c>
      <c r="F47" s="167" t="s">
        <v>150</v>
      </c>
      <c r="G47" s="39" t="s">
        <v>503</v>
      </c>
      <c r="H47" s="199" t="s">
        <v>576</v>
      </c>
      <c r="I47" s="144" t="s">
        <v>118</v>
      </c>
      <c r="J47" s="198" t="s">
        <v>360</v>
      </c>
      <c r="K47" s="198" t="s">
        <v>383</v>
      </c>
      <c r="L47" s="198" t="s">
        <v>217</v>
      </c>
      <c r="M47" s="145" t="s">
        <v>171</v>
      </c>
      <c r="N47" s="32">
        <v>7</v>
      </c>
      <c r="O47" s="143">
        <v>0</v>
      </c>
      <c r="P47" s="143">
        <v>1</v>
      </c>
      <c r="Q47" s="143">
        <v>0</v>
      </c>
      <c r="R47" s="143">
        <v>0</v>
      </c>
    </row>
    <row r="48" spans="1:18" s="58" customFormat="1" x14ac:dyDescent="0.25">
      <c r="A48" s="196" t="s">
        <v>577</v>
      </c>
      <c r="B48" s="193">
        <v>12.333299999999999</v>
      </c>
      <c r="C48" s="194">
        <v>1.76383</v>
      </c>
      <c r="D48" s="195">
        <v>3</v>
      </c>
      <c r="E48" s="192">
        <v>3</v>
      </c>
      <c r="F48" s="167" t="s">
        <v>150</v>
      </c>
      <c r="G48" s="39" t="s">
        <v>503</v>
      </c>
      <c r="H48" s="200" t="s">
        <v>577</v>
      </c>
      <c r="I48" s="198" t="s">
        <v>386</v>
      </c>
      <c r="J48" s="198" t="s">
        <v>361</v>
      </c>
      <c r="K48" s="142" t="s">
        <v>374</v>
      </c>
      <c r="L48" s="142" t="s">
        <v>578</v>
      </c>
      <c r="M48" s="145" t="s">
        <v>171</v>
      </c>
      <c r="N48" s="32">
        <v>2.6</v>
      </c>
      <c r="O48" s="143">
        <v>1</v>
      </c>
      <c r="P48" s="143">
        <v>1</v>
      </c>
      <c r="Q48" s="143">
        <v>0</v>
      </c>
      <c r="R48" s="143">
        <v>1</v>
      </c>
    </row>
    <row r="49" spans="1:18" s="58" customFormat="1" x14ac:dyDescent="0.25">
      <c r="A49" s="196" t="s">
        <v>579</v>
      </c>
      <c r="B49" s="193">
        <v>12.333299999999999</v>
      </c>
      <c r="C49" s="194">
        <v>0.88192000000000004</v>
      </c>
      <c r="D49" s="195">
        <v>3</v>
      </c>
      <c r="E49" s="192">
        <v>4</v>
      </c>
      <c r="F49" s="167" t="s">
        <v>150</v>
      </c>
      <c r="G49" s="39" t="s">
        <v>503</v>
      </c>
      <c r="H49" s="177" t="s">
        <v>579</v>
      </c>
      <c r="I49" s="198" t="s">
        <v>386</v>
      </c>
      <c r="J49" s="198" t="s">
        <v>361</v>
      </c>
      <c r="K49" s="142" t="s">
        <v>373</v>
      </c>
      <c r="L49" s="142" t="s">
        <v>380</v>
      </c>
      <c r="M49" s="145" t="s">
        <v>161</v>
      </c>
      <c r="N49" s="32">
        <v>2.2999999999999998</v>
      </c>
      <c r="O49" s="143">
        <v>0</v>
      </c>
      <c r="P49" s="143">
        <v>1</v>
      </c>
      <c r="Q49" s="143">
        <v>1</v>
      </c>
      <c r="R49" s="143">
        <v>0</v>
      </c>
    </row>
    <row r="50" spans="1:18" s="58" customFormat="1" x14ac:dyDescent="0.25">
      <c r="A50" s="196" t="s">
        <v>580</v>
      </c>
      <c r="B50" s="193">
        <v>7.4</v>
      </c>
      <c r="C50" s="194">
        <v>2.4207399999999999</v>
      </c>
      <c r="D50" s="195">
        <v>5</v>
      </c>
      <c r="E50" s="192">
        <v>15</v>
      </c>
      <c r="F50" s="167" t="s">
        <v>150</v>
      </c>
      <c r="G50" s="39" t="s">
        <v>503</v>
      </c>
      <c r="H50" s="177" t="s">
        <v>580</v>
      </c>
      <c r="I50" s="198" t="s">
        <v>386</v>
      </c>
      <c r="J50" s="142" t="s">
        <v>364</v>
      </c>
      <c r="K50" s="142" t="s">
        <v>365</v>
      </c>
      <c r="L50" s="142" t="s">
        <v>366</v>
      </c>
      <c r="M50" s="145" t="s">
        <v>167</v>
      </c>
      <c r="N50" s="32">
        <v>2</v>
      </c>
      <c r="O50" s="143">
        <v>0</v>
      </c>
      <c r="P50" s="143">
        <v>0</v>
      </c>
      <c r="Q50" s="143">
        <v>1</v>
      </c>
      <c r="R50" s="143">
        <v>0</v>
      </c>
    </row>
    <row r="51" spans="1:18" s="58" customFormat="1" x14ac:dyDescent="0.25">
      <c r="A51" s="196" t="s">
        <v>581</v>
      </c>
      <c r="B51" s="193">
        <v>10</v>
      </c>
      <c r="C51" s="194">
        <v>1</v>
      </c>
      <c r="D51" s="195">
        <v>3</v>
      </c>
      <c r="E51" s="192">
        <v>10</v>
      </c>
      <c r="F51" s="167" t="s">
        <v>150</v>
      </c>
      <c r="G51" s="39" t="s">
        <v>503</v>
      </c>
      <c r="H51" s="201" t="s">
        <v>581</v>
      </c>
      <c r="I51" s="198" t="s">
        <v>386</v>
      </c>
      <c r="J51" s="142" t="s">
        <v>364</v>
      </c>
      <c r="K51" s="142" t="s">
        <v>365</v>
      </c>
      <c r="L51" s="142" t="s">
        <v>366</v>
      </c>
      <c r="M51" s="145" t="s">
        <v>165</v>
      </c>
      <c r="N51" s="32">
        <v>1.2</v>
      </c>
      <c r="O51" s="143">
        <v>1</v>
      </c>
      <c r="P51" s="143">
        <v>1</v>
      </c>
      <c r="Q51" s="143">
        <v>1</v>
      </c>
      <c r="R51" s="143">
        <v>1</v>
      </c>
    </row>
    <row r="52" spans="1:18" s="58" customFormat="1" ht="16.149999999999999" customHeight="1" x14ac:dyDescent="0.25">
      <c r="A52" s="196" t="s">
        <v>582</v>
      </c>
      <c r="B52" s="193">
        <v>11</v>
      </c>
      <c r="C52" s="194">
        <v>0.91286999999999996</v>
      </c>
      <c r="D52" s="195">
        <v>4</v>
      </c>
      <c r="E52" s="192">
        <v>8</v>
      </c>
      <c r="F52" s="167" t="s">
        <v>150</v>
      </c>
      <c r="G52" s="39" t="s">
        <v>503</v>
      </c>
      <c r="H52" s="168" t="s">
        <v>582</v>
      </c>
      <c r="I52" s="198" t="s">
        <v>386</v>
      </c>
      <c r="J52" s="198" t="s">
        <v>361</v>
      </c>
      <c r="K52" s="142" t="s">
        <v>583</v>
      </c>
      <c r="L52" s="142" t="s">
        <v>584</v>
      </c>
      <c r="M52" s="145" t="s">
        <v>171</v>
      </c>
      <c r="N52" s="32">
        <v>1.2</v>
      </c>
      <c r="O52" s="143">
        <v>1</v>
      </c>
      <c r="P52" s="143">
        <v>0</v>
      </c>
      <c r="Q52" s="143">
        <v>1</v>
      </c>
      <c r="R52" s="143">
        <v>0</v>
      </c>
    </row>
    <row r="53" spans="1:18" s="58" customFormat="1" x14ac:dyDescent="0.25">
      <c r="A53" s="196" t="s">
        <v>585</v>
      </c>
      <c r="B53" s="193">
        <v>10</v>
      </c>
      <c r="C53" s="194">
        <v>1.9578899999999999</v>
      </c>
      <c r="D53" s="195">
        <v>4</v>
      </c>
      <c r="E53" s="192">
        <v>11</v>
      </c>
      <c r="F53" s="167" t="s">
        <v>150</v>
      </c>
      <c r="G53" s="39" t="s">
        <v>503</v>
      </c>
      <c r="H53" s="176" t="s">
        <v>585</v>
      </c>
      <c r="I53" s="198" t="s">
        <v>386</v>
      </c>
      <c r="J53" s="142" t="s">
        <v>364</v>
      </c>
      <c r="K53" s="142" t="s">
        <v>365</v>
      </c>
      <c r="L53" s="142" t="s">
        <v>366</v>
      </c>
      <c r="M53" s="145" t="s">
        <v>586</v>
      </c>
      <c r="N53" s="32">
        <v>4.5</v>
      </c>
      <c r="O53" s="143">
        <v>0</v>
      </c>
      <c r="P53" s="143">
        <v>0</v>
      </c>
      <c r="Q53" s="143">
        <v>1</v>
      </c>
      <c r="R53" s="143">
        <v>0</v>
      </c>
    </row>
    <row r="54" spans="1:18" s="58" customFormat="1" x14ac:dyDescent="0.25">
      <c r="A54" s="196" t="s">
        <v>587</v>
      </c>
      <c r="B54" s="193">
        <v>12.25</v>
      </c>
      <c r="C54" s="194">
        <v>2.4958300000000002</v>
      </c>
      <c r="D54" s="195">
        <v>4</v>
      </c>
      <c r="E54" s="192">
        <v>5</v>
      </c>
      <c r="F54" s="167" t="s">
        <v>150</v>
      </c>
      <c r="G54" s="39" t="s">
        <v>503</v>
      </c>
      <c r="H54" s="202" t="s">
        <v>587</v>
      </c>
      <c r="I54" s="198" t="s">
        <v>386</v>
      </c>
      <c r="J54" s="142" t="s">
        <v>364</v>
      </c>
      <c r="K54" s="142" t="s">
        <v>365</v>
      </c>
      <c r="L54" s="142" t="s">
        <v>366</v>
      </c>
      <c r="M54" s="146" t="s">
        <v>588</v>
      </c>
      <c r="N54" s="32">
        <v>1.2</v>
      </c>
      <c r="O54" s="143">
        <v>0</v>
      </c>
      <c r="P54" s="143">
        <v>0</v>
      </c>
      <c r="Q54" s="143">
        <v>1</v>
      </c>
      <c r="R54" s="143">
        <v>1</v>
      </c>
    </row>
    <row r="55" spans="1:18" s="58" customFormat="1" x14ac:dyDescent="0.25">
      <c r="A55" s="196" t="s">
        <v>589</v>
      </c>
      <c r="B55" s="193">
        <v>3.3332999999999999</v>
      </c>
      <c r="C55" s="194">
        <v>2.02759</v>
      </c>
      <c r="D55" s="195">
        <v>3</v>
      </c>
      <c r="E55" s="192">
        <v>23</v>
      </c>
      <c r="F55" s="167" t="s">
        <v>150</v>
      </c>
      <c r="G55" s="39" t="s">
        <v>503</v>
      </c>
      <c r="H55" s="203" t="s">
        <v>589</v>
      </c>
      <c r="I55" s="198" t="s">
        <v>386</v>
      </c>
      <c r="J55" s="198" t="s">
        <v>361</v>
      </c>
      <c r="K55" s="198" t="s">
        <v>391</v>
      </c>
      <c r="L55" s="198" t="s">
        <v>369</v>
      </c>
      <c r="M55" s="145" t="s">
        <v>173</v>
      </c>
      <c r="N55" s="32">
        <v>2</v>
      </c>
      <c r="O55" s="143">
        <v>0</v>
      </c>
      <c r="P55" s="143">
        <v>0</v>
      </c>
      <c r="Q55" s="143">
        <v>1</v>
      </c>
      <c r="R55" s="143">
        <v>0</v>
      </c>
    </row>
    <row r="56" spans="1:18" s="58" customFormat="1" x14ac:dyDescent="0.25">
      <c r="A56" s="196" t="s">
        <v>590</v>
      </c>
      <c r="B56" s="193">
        <v>6.2</v>
      </c>
      <c r="C56" s="194">
        <v>1.93391</v>
      </c>
      <c r="D56" s="195">
        <v>5</v>
      </c>
      <c r="E56" s="192">
        <v>20</v>
      </c>
      <c r="F56" s="167" t="s">
        <v>150</v>
      </c>
      <c r="G56" s="39" t="s">
        <v>503</v>
      </c>
      <c r="H56" s="177" t="s">
        <v>590</v>
      </c>
      <c r="I56" s="198" t="s">
        <v>386</v>
      </c>
      <c r="J56" s="198" t="s">
        <v>361</v>
      </c>
      <c r="K56" s="198" t="s">
        <v>391</v>
      </c>
      <c r="L56" s="198" t="s">
        <v>369</v>
      </c>
      <c r="M56" s="145" t="s">
        <v>591</v>
      </c>
      <c r="N56" s="32">
        <v>2</v>
      </c>
      <c r="O56" s="143">
        <v>0</v>
      </c>
      <c r="P56" s="143">
        <v>0</v>
      </c>
      <c r="Q56" s="143">
        <v>1</v>
      </c>
      <c r="R56" s="143">
        <v>0</v>
      </c>
    </row>
    <row r="57" spans="1:18" s="58" customFormat="1" x14ac:dyDescent="0.25">
      <c r="A57" s="196" t="s">
        <v>592</v>
      </c>
      <c r="B57" s="193">
        <v>12.4</v>
      </c>
      <c r="C57" s="194">
        <v>1.02956</v>
      </c>
      <c r="D57" s="195">
        <v>5</v>
      </c>
      <c r="E57" s="192">
        <v>2</v>
      </c>
      <c r="F57" s="167" t="s">
        <v>150</v>
      </c>
      <c r="G57" s="39" t="s">
        <v>503</v>
      </c>
      <c r="H57" s="168" t="s">
        <v>592</v>
      </c>
      <c r="I57" s="198" t="s">
        <v>386</v>
      </c>
      <c r="J57" s="198" t="s">
        <v>361</v>
      </c>
      <c r="K57" s="198" t="s">
        <v>362</v>
      </c>
      <c r="L57" s="198" t="s">
        <v>593</v>
      </c>
      <c r="M57" s="145" t="s">
        <v>174</v>
      </c>
      <c r="N57" s="32">
        <v>2.4</v>
      </c>
      <c r="O57" s="143">
        <v>0</v>
      </c>
      <c r="P57" s="143">
        <v>0</v>
      </c>
      <c r="Q57" s="143">
        <v>0</v>
      </c>
      <c r="R57" s="143">
        <v>0</v>
      </c>
    </row>
    <row r="58" spans="1:18" s="58" customFormat="1" x14ac:dyDescent="0.25">
      <c r="A58" s="196" t="s">
        <v>594</v>
      </c>
      <c r="B58" s="193">
        <v>7</v>
      </c>
      <c r="C58" s="194">
        <v>3.7859400000000001</v>
      </c>
      <c r="D58" s="195">
        <v>3</v>
      </c>
      <c r="E58" s="192">
        <v>17</v>
      </c>
      <c r="F58" s="167" t="s">
        <v>150</v>
      </c>
      <c r="G58" s="39" t="s">
        <v>503</v>
      </c>
      <c r="H58" s="191" t="s">
        <v>594</v>
      </c>
      <c r="I58" s="198" t="s">
        <v>386</v>
      </c>
      <c r="J58" s="142" t="s">
        <v>364</v>
      </c>
      <c r="K58" s="142" t="s">
        <v>365</v>
      </c>
      <c r="L58" s="142" t="s">
        <v>370</v>
      </c>
      <c r="M58" s="145" t="s">
        <v>595</v>
      </c>
      <c r="N58" s="32">
        <v>1.2</v>
      </c>
      <c r="O58" s="143">
        <v>0</v>
      </c>
      <c r="P58" s="143">
        <v>0</v>
      </c>
      <c r="Q58" s="143">
        <v>1</v>
      </c>
      <c r="R58" s="143">
        <v>0</v>
      </c>
    </row>
    <row r="59" spans="1:18" s="58" customFormat="1" x14ac:dyDescent="0.25">
      <c r="A59" s="196" t="s">
        <v>596</v>
      </c>
      <c r="B59" s="193">
        <v>6.5</v>
      </c>
      <c r="C59" s="194">
        <v>1.19024</v>
      </c>
      <c r="D59" s="195">
        <v>4</v>
      </c>
      <c r="E59" s="192">
        <v>19</v>
      </c>
      <c r="F59" s="167" t="s">
        <v>150</v>
      </c>
      <c r="G59" s="39" t="s">
        <v>503</v>
      </c>
      <c r="H59" s="177" t="s">
        <v>596</v>
      </c>
      <c r="I59" s="198" t="s">
        <v>386</v>
      </c>
      <c r="J59" s="198" t="s">
        <v>361</v>
      </c>
      <c r="K59" s="142" t="s">
        <v>373</v>
      </c>
      <c r="L59" s="142" t="s">
        <v>373</v>
      </c>
      <c r="M59" s="145" t="s">
        <v>161</v>
      </c>
      <c r="N59" s="32">
        <v>7</v>
      </c>
      <c r="O59" s="143">
        <v>0</v>
      </c>
      <c r="P59" s="143">
        <v>0</v>
      </c>
      <c r="Q59" s="143">
        <v>1</v>
      </c>
      <c r="R59" s="143">
        <v>0</v>
      </c>
    </row>
    <row r="60" spans="1:18" s="58" customFormat="1" x14ac:dyDescent="0.25">
      <c r="A60" s="196" t="s">
        <v>597</v>
      </c>
      <c r="B60" s="193">
        <v>6.75</v>
      </c>
      <c r="C60" s="194">
        <v>2.6887099999999999</v>
      </c>
      <c r="D60" s="195">
        <v>4</v>
      </c>
      <c r="E60" s="192">
        <v>18</v>
      </c>
      <c r="F60" s="167" t="s">
        <v>150</v>
      </c>
      <c r="G60" s="39" t="s">
        <v>503</v>
      </c>
      <c r="H60" s="177" t="s">
        <v>597</v>
      </c>
      <c r="I60" s="198" t="s">
        <v>386</v>
      </c>
      <c r="J60" s="142" t="s">
        <v>361</v>
      </c>
      <c r="K60" s="142" t="s">
        <v>598</v>
      </c>
      <c r="L60" s="142" t="s">
        <v>599</v>
      </c>
      <c r="M60" s="145" t="s">
        <v>600</v>
      </c>
      <c r="N60" s="32">
        <v>2.7</v>
      </c>
      <c r="O60" s="143">
        <v>0</v>
      </c>
      <c r="P60" s="143">
        <v>0</v>
      </c>
      <c r="Q60" s="143">
        <v>0</v>
      </c>
      <c r="R60" s="143">
        <v>0</v>
      </c>
    </row>
    <row r="61" spans="1:18" s="58" customFormat="1" x14ac:dyDescent="0.25">
      <c r="A61" s="196" t="s">
        <v>601</v>
      </c>
      <c r="B61" s="193">
        <v>8.4</v>
      </c>
      <c r="C61" s="194">
        <v>2.4207399999999999</v>
      </c>
      <c r="D61" s="195">
        <v>5</v>
      </c>
      <c r="E61" s="192">
        <v>13</v>
      </c>
      <c r="F61" s="167" t="s">
        <v>150</v>
      </c>
      <c r="G61" s="39" t="s">
        <v>503</v>
      </c>
      <c r="H61" s="177" t="s">
        <v>601</v>
      </c>
      <c r="I61" s="198" t="s">
        <v>386</v>
      </c>
      <c r="J61" s="198" t="s">
        <v>361</v>
      </c>
      <c r="K61" s="142" t="s">
        <v>374</v>
      </c>
      <c r="L61" s="142" t="s">
        <v>375</v>
      </c>
      <c r="M61" s="145" t="s">
        <v>602</v>
      </c>
      <c r="N61" s="32" t="s">
        <v>454</v>
      </c>
      <c r="O61" s="143">
        <v>0</v>
      </c>
      <c r="P61" s="143">
        <v>0</v>
      </c>
      <c r="Q61" s="143">
        <v>1</v>
      </c>
      <c r="R61" s="143">
        <v>0</v>
      </c>
    </row>
    <row r="62" spans="1:18" s="58" customFormat="1" x14ac:dyDescent="0.25">
      <c r="A62" s="196" t="s">
        <v>603</v>
      </c>
      <c r="B62" s="193">
        <v>4.1666999999999996</v>
      </c>
      <c r="C62" s="194">
        <v>1.35195</v>
      </c>
      <c r="D62" s="195">
        <v>6</v>
      </c>
      <c r="E62" s="192">
        <v>21</v>
      </c>
      <c r="F62" s="167" t="s">
        <v>150</v>
      </c>
      <c r="G62" s="39" t="s">
        <v>503</v>
      </c>
      <c r="H62" s="168" t="s">
        <v>603</v>
      </c>
      <c r="I62" s="198" t="s">
        <v>386</v>
      </c>
      <c r="J62" s="142" t="s">
        <v>364</v>
      </c>
      <c r="K62" s="142" t="s">
        <v>365</v>
      </c>
      <c r="L62" s="142" t="s">
        <v>366</v>
      </c>
      <c r="M62" s="145" t="s">
        <v>175</v>
      </c>
      <c r="N62" s="32">
        <v>1.2</v>
      </c>
      <c r="O62" s="143">
        <v>0</v>
      </c>
      <c r="P62" s="143">
        <v>0</v>
      </c>
      <c r="Q62" s="143">
        <v>0</v>
      </c>
      <c r="R62" s="143">
        <v>0</v>
      </c>
    </row>
    <row r="63" spans="1:18" s="58" customFormat="1" x14ac:dyDescent="0.25">
      <c r="A63" s="196" t="s">
        <v>604</v>
      </c>
      <c r="B63" s="193">
        <v>10.4</v>
      </c>
      <c r="C63" s="194">
        <v>1.6911499999999999</v>
      </c>
      <c r="D63" s="195">
        <v>5</v>
      </c>
      <c r="E63" s="192">
        <v>9</v>
      </c>
      <c r="F63" s="167" t="s">
        <v>150</v>
      </c>
      <c r="G63" s="39" t="s">
        <v>503</v>
      </c>
      <c r="H63" s="202" t="s">
        <v>604</v>
      </c>
      <c r="I63" s="198" t="s">
        <v>386</v>
      </c>
      <c r="J63" s="198" t="s">
        <v>364</v>
      </c>
      <c r="K63" s="198" t="s">
        <v>367</v>
      </c>
      <c r="L63" s="198" t="s">
        <v>368</v>
      </c>
      <c r="M63" s="145" t="s">
        <v>171</v>
      </c>
      <c r="N63" s="32">
        <v>2.7</v>
      </c>
      <c r="O63" s="143">
        <v>0</v>
      </c>
      <c r="P63" s="143">
        <v>0</v>
      </c>
      <c r="Q63" s="143">
        <v>1</v>
      </c>
      <c r="R63" s="143">
        <v>0</v>
      </c>
    </row>
    <row r="64" spans="1:18" s="58" customFormat="1" x14ac:dyDescent="0.25">
      <c r="A64" s="196" t="s">
        <v>605</v>
      </c>
      <c r="B64" s="193">
        <v>3.5</v>
      </c>
      <c r="C64" s="194">
        <v>1.7559400000000001</v>
      </c>
      <c r="D64" s="195">
        <v>4</v>
      </c>
      <c r="E64" s="192">
        <v>22</v>
      </c>
      <c r="F64" s="167" t="s">
        <v>150</v>
      </c>
      <c r="G64" s="39" t="s">
        <v>503</v>
      </c>
      <c r="H64" s="203" t="s">
        <v>605</v>
      </c>
      <c r="I64" s="198" t="s">
        <v>386</v>
      </c>
      <c r="J64" s="142" t="s">
        <v>364</v>
      </c>
      <c r="K64" s="142" t="s">
        <v>365</v>
      </c>
      <c r="L64" s="142" t="s">
        <v>382</v>
      </c>
      <c r="M64" s="145" t="s">
        <v>165</v>
      </c>
      <c r="N64" s="32">
        <v>7</v>
      </c>
      <c r="O64" s="143">
        <v>0</v>
      </c>
      <c r="P64" s="143">
        <v>0</v>
      </c>
      <c r="Q64" s="143">
        <v>1</v>
      </c>
      <c r="R64" s="143">
        <v>0</v>
      </c>
    </row>
    <row r="65" spans="1:18" s="58" customFormat="1" x14ac:dyDescent="0.25">
      <c r="A65" s="196" t="s">
        <v>606</v>
      </c>
      <c r="B65" s="193">
        <v>12.25</v>
      </c>
      <c r="C65" s="194">
        <v>1.03078</v>
      </c>
      <c r="D65" s="195">
        <v>4</v>
      </c>
      <c r="E65" s="192">
        <v>6</v>
      </c>
      <c r="F65" s="167" t="s">
        <v>150</v>
      </c>
      <c r="G65" s="39" t="s">
        <v>503</v>
      </c>
      <c r="H65" s="203" t="s">
        <v>606</v>
      </c>
      <c r="I65" s="144" t="s">
        <v>118</v>
      </c>
      <c r="J65" s="198" t="s">
        <v>360</v>
      </c>
      <c r="K65" s="198" t="s">
        <v>383</v>
      </c>
      <c r="L65" s="204" t="s">
        <v>217</v>
      </c>
      <c r="M65" s="145" t="s">
        <v>171</v>
      </c>
      <c r="N65" s="32" t="s">
        <v>607</v>
      </c>
      <c r="O65" s="143">
        <v>0</v>
      </c>
      <c r="P65" s="143">
        <v>1</v>
      </c>
      <c r="Q65" s="143">
        <v>0</v>
      </c>
      <c r="R65" s="143">
        <v>0</v>
      </c>
    </row>
    <row r="66" spans="1:18" s="58" customFormat="1" x14ac:dyDescent="0.25">
      <c r="A66" s="196" t="s">
        <v>608</v>
      </c>
      <c r="B66" s="193">
        <v>12.2</v>
      </c>
      <c r="C66" s="194">
        <v>0.96953999999999996</v>
      </c>
      <c r="D66" s="195">
        <v>5</v>
      </c>
      <c r="E66" s="192">
        <v>7</v>
      </c>
      <c r="F66" s="167" t="s">
        <v>150</v>
      </c>
      <c r="G66" s="39" t="s">
        <v>503</v>
      </c>
      <c r="H66" s="205" t="s">
        <v>608</v>
      </c>
      <c r="I66" s="204" t="s">
        <v>386</v>
      </c>
      <c r="J66" s="142" t="s">
        <v>364</v>
      </c>
      <c r="K66" s="142" t="s">
        <v>376</v>
      </c>
      <c r="L66" s="142" t="s">
        <v>377</v>
      </c>
      <c r="M66" s="146" t="s">
        <v>153</v>
      </c>
      <c r="N66" s="32" t="s">
        <v>558</v>
      </c>
      <c r="O66" s="143">
        <v>0</v>
      </c>
      <c r="P66" s="143">
        <v>0</v>
      </c>
      <c r="Q66" s="143">
        <v>1</v>
      </c>
      <c r="R66" s="143">
        <v>0</v>
      </c>
    </row>
    <row r="67" spans="1:18" s="58" customFormat="1" ht="15.6" customHeight="1" x14ac:dyDescent="0.25">
      <c r="A67" s="196" t="s">
        <v>609</v>
      </c>
      <c r="B67" s="193">
        <v>7.3333000000000004</v>
      </c>
      <c r="C67" s="194">
        <v>3.4801000000000002</v>
      </c>
      <c r="D67" s="195">
        <v>3</v>
      </c>
      <c r="E67" s="192">
        <v>16</v>
      </c>
      <c r="F67" s="167" t="s">
        <v>150</v>
      </c>
      <c r="G67" s="39" t="s">
        <v>503</v>
      </c>
      <c r="H67" s="206" t="s">
        <v>609</v>
      </c>
      <c r="I67" s="204" t="s">
        <v>386</v>
      </c>
      <c r="J67" s="198" t="s">
        <v>364</v>
      </c>
      <c r="K67" s="198" t="s">
        <v>365</v>
      </c>
      <c r="L67" s="204" t="s">
        <v>366</v>
      </c>
      <c r="M67" s="207" t="s">
        <v>161</v>
      </c>
      <c r="N67" s="32">
        <v>1.2</v>
      </c>
      <c r="O67" s="143">
        <v>0</v>
      </c>
      <c r="P67" s="143">
        <v>0</v>
      </c>
      <c r="Q67" s="143">
        <v>1</v>
      </c>
      <c r="R67" s="143">
        <v>0</v>
      </c>
    </row>
    <row r="68" spans="1:18" s="58" customFormat="1" x14ac:dyDescent="0.25">
      <c r="A68" s="196" t="s">
        <v>610</v>
      </c>
      <c r="B68" s="193">
        <v>10</v>
      </c>
      <c r="C68" s="194">
        <v>1.51658</v>
      </c>
      <c r="D68" s="195">
        <v>5</v>
      </c>
      <c r="E68" s="192">
        <v>12</v>
      </c>
      <c r="F68" s="167" t="s">
        <v>150</v>
      </c>
      <c r="G68" s="39" t="s">
        <v>503</v>
      </c>
      <c r="H68" s="177" t="s">
        <v>610</v>
      </c>
      <c r="I68" s="204" t="s">
        <v>386</v>
      </c>
      <c r="J68" s="198" t="s">
        <v>364</v>
      </c>
      <c r="K68" s="198" t="s">
        <v>365</v>
      </c>
      <c r="L68" s="204" t="s">
        <v>611</v>
      </c>
      <c r="M68" s="145" t="s">
        <v>176</v>
      </c>
      <c r="N68" s="32">
        <v>7</v>
      </c>
      <c r="O68" s="143">
        <v>0</v>
      </c>
      <c r="P68" s="143">
        <v>0</v>
      </c>
      <c r="Q68" s="143">
        <v>1</v>
      </c>
      <c r="R68" s="143">
        <v>0</v>
      </c>
    </row>
    <row r="69" spans="1:18" s="58" customFormat="1" x14ac:dyDescent="0.25">
      <c r="A69" s="224" t="s">
        <v>612</v>
      </c>
      <c r="B69" s="221">
        <v>11</v>
      </c>
      <c r="C69" s="222">
        <v>2.0816699999999999</v>
      </c>
      <c r="D69" s="223">
        <v>3</v>
      </c>
      <c r="E69" s="220">
        <v>15</v>
      </c>
      <c r="F69" s="167" t="s">
        <v>442</v>
      </c>
      <c r="G69" s="39" t="s">
        <v>503</v>
      </c>
      <c r="H69" s="172" t="s">
        <v>613</v>
      </c>
      <c r="I69" s="175" t="s">
        <v>85</v>
      </c>
      <c r="J69" s="175" t="s">
        <v>86</v>
      </c>
      <c r="K69" s="175" t="s">
        <v>278</v>
      </c>
      <c r="L69" s="175" t="s">
        <v>279</v>
      </c>
      <c r="M69" s="169" t="s">
        <v>614</v>
      </c>
      <c r="N69" s="32">
        <v>4.3</v>
      </c>
      <c r="O69" s="171">
        <v>0</v>
      </c>
      <c r="P69" s="170">
        <v>0</v>
      </c>
      <c r="Q69" s="170">
        <v>1</v>
      </c>
      <c r="R69" s="170">
        <v>0</v>
      </c>
    </row>
    <row r="70" spans="1:18" s="58" customFormat="1" x14ac:dyDescent="0.25">
      <c r="A70" s="224" t="s">
        <v>615</v>
      </c>
      <c r="B70" s="221">
        <v>12</v>
      </c>
      <c r="C70" s="222">
        <v>2.64575</v>
      </c>
      <c r="D70" s="223">
        <v>3</v>
      </c>
      <c r="E70" s="220">
        <v>12</v>
      </c>
      <c r="F70" s="167" t="s">
        <v>442</v>
      </c>
      <c r="G70" s="39" t="s">
        <v>503</v>
      </c>
      <c r="H70" s="177" t="s">
        <v>615</v>
      </c>
      <c r="I70" s="169" t="s">
        <v>225</v>
      </c>
      <c r="J70" s="189" t="s">
        <v>226</v>
      </c>
      <c r="K70" s="189" t="s">
        <v>227</v>
      </c>
      <c r="L70" s="189" t="s">
        <v>297</v>
      </c>
      <c r="M70" s="169" t="s">
        <v>163</v>
      </c>
      <c r="N70" s="32">
        <v>7</v>
      </c>
      <c r="O70" s="171">
        <v>0</v>
      </c>
      <c r="P70" s="170">
        <v>0</v>
      </c>
      <c r="Q70" s="170">
        <v>1</v>
      </c>
      <c r="R70" s="170">
        <v>0</v>
      </c>
    </row>
    <row r="71" spans="1:18" s="58" customFormat="1" ht="16.899999999999999" customHeight="1" x14ac:dyDescent="0.25">
      <c r="A71" s="224" t="s">
        <v>92</v>
      </c>
      <c r="B71" s="221">
        <v>13.333299999999999</v>
      </c>
      <c r="C71" s="222">
        <v>2.72845</v>
      </c>
      <c r="D71" s="223">
        <v>3</v>
      </c>
      <c r="E71" s="220">
        <v>8</v>
      </c>
      <c r="F71" s="167" t="s">
        <v>442</v>
      </c>
      <c r="G71" s="39" t="s">
        <v>208</v>
      </c>
      <c r="H71" s="147" t="s">
        <v>92</v>
      </c>
      <c r="I71" s="36" t="s">
        <v>85</v>
      </c>
      <c r="J71" s="81" t="s">
        <v>86</v>
      </c>
      <c r="K71" s="39" t="s">
        <v>282</v>
      </c>
      <c r="L71" s="39" t="s">
        <v>283</v>
      </c>
      <c r="M71" s="81" t="s">
        <v>183</v>
      </c>
      <c r="N71" s="32" t="s">
        <v>616</v>
      </c>
      <c r="O71" s="93">
        <v>0</v>
      </c>
      <c r="P71" s="93">
        <v>0</v>
      </c>
      <c r="Q71" s="93">
        <v>1</v>
      </c>
      <c r="R71" s="93">
        <v>0</v>
      </c>
    </row>
    <row r="72" spans="1:18" s="58" customFormat="1" x14ac:dyDescent="0.25">
      <c r="A72" s="224" t="s">
        <v>617</v>
      </c>
      <c r="B72" s="221">
        <v>12.333299999999999</v>
      </c>
      <c r="C72" s="222">
        <v>1.6666700000000001</v>
      </c>
      <c r="D72" s="223">
        <v>3</v>
      </c>
      <c r="E72" s="220">
        <v>10</v>
      </c>
      <c r="F72" s="167" t="s">
        <v>442</v>
      </c>
      <c r="G72" s="39" t="s">
        <v>503</v>
      </c>
      <c r="H72" s="208" t="s">
        <v>617</v>
      </c>
      <c r="I72" s="169" t="s">
        <v>222</v>
      </c>
      <c r="J72" s="175" t="s">
        <v>93</v>
      </c>
      <c r="K72" s="175" t="s">
        <v>296</v>
      </c>
      <c r="L72" s="175" t="s">
        <v>618</v>
      </c>
      <c r="M72" s="169" t="s">
        <v>177</v>
      </c>
      <c r="N72" s="32">
        <v>3.4</v>
      </c>
      <c r="O72" s="171">
        <v>0</v>
      </c>
      <c r="P72" s="170">
        <v>0</v>
      </c>
      <c r="Q72" s="170">
        <v>1</v>
      </c>
      <c r="R72" s="170">
        <v>0</v>
      </c>
    </row>
    <row r="73" spans="1:18" s="58" customFormat="1" x14ac:dyDescent="0.25">
      <c r="A73" s="224" t="s">
        <v>619</v>
      </c>
      <c r="B73" s="221">
        <v>7.3333000000000004</v>
      </c>
      <c r="C73" s="222">
        <v>2.18581</v>
      </c>
      <c r="D73" s="223">
        <v>3</v>
      </c>
      <c r="E73" s="220">
        <v>22</v>
      </c>
      <c r="F73" s="167" t="s">
        <v>442</v>
      </c>
      <c r="G73" s="39" t="s">
        <v>503</v>
      </c>
      <c r="H73" s="197" t="s">
        <v>619</v>
      </c>
      <c r="I73" s="175" t="s">
        <v>85</v>
      </c>
      <c r="J73" s="189" t="s">
        <v>87</v>
      </c>
      <c r="K73" s="144" t="s">
        <v>315</v>
      </c>
      <c r="L73" s="144" t="s">
        <v>316</v>
      </c>
      <c r="M73" s="175" t="s">
        <v>196</v>
      </c>
      <c r="N73" s="32">
        <v>7</v>
      </c>
      <c r="O73" s="171">
        <v>0</v>
      </c>
      <c r="P73" s="170">
        <v>0</v>
      </c>
      <c r="Q73" s="170">
        <v>1</v>
      </c>
      <c r="R73" s="170">
        <v>0</v>
      </c>
    </row>
    <row r="74" spans="1:18" s="58" customFormat="1" x14ac:dyDescent="0.25">
      <c r="A74" s="224" t="s">
        <v>620</v>
      </c>
      <c r="B74" s="221">
        <v>10.333299999999999</v>
      </c>
      <c r="C74" s="222">
        <v>1.2018500000000001</v>
      </c>
      <c r="D74" s="223">
        <v>3</v>
      </c>
      <c r="E74" s="220">
        <v>17</v>
      </c>
      <c r="F74" s="167" t="s">
        <v>442</v>
      </c>
      <c r="G74" s="39" t="s">
        <v>503</v>
      </c>
      <c r="H74" s="208" t="s">
        <v>665</v>
      </c>
      <c r="I74" s="169" t="s">
        <v>222</v>
      </c>
      <c r="J74" s="175" t="s">
        <v>82</v>
      </c>
      <c r="K74" s="175" t="s">
        <v>221</v>
      </c>
      <c r="L74" s="175" t="s">
        <v>509</v>
      </c>
      <c r="M74" s="175" t="s">
        <v>178</v>
      </c>
      <c r="N74" s="32">
        <v>3.5</v>
      </c>
      <c r="O74" s="210">
        <v>0</v>
      </c>
      <c r="P74" s="210">
        <v>0</v>
      </c>
      <c r="Q74" s="209">
        <v>1</v>
      </c>
      <c r="R74" s="209">
        <v>0</v>
      </c>
    </row>
    <row r="75" spans="1:18" s="58" customFormat="1" x14ac:dyDescent="0.25">
      <c r="A75" s="224" t="s">
        <v>621</v>
      </c>
      <c r="B75" s="221">
        <v>13.666700000000001</v>
      </c>
      <c r="C75" s="222">
        <v>0.88192000000000004</v>
      </c>
      <c r="D75" s="223">
        <v>3</v>
      </c>
      <c r="E75" s="220">
        <v>5</v>
      </c>
      <c r="F75" s="167" t="s">
        <v>442</v>
      </c>
      <c r="G75" s="39" t="s">
        <v>503</v>
      </c>
      <c r="H75" s="177" t="s">
        <v>621</v>
      </c>
      <c r="I75" s="169" t="s">
        <v>222</v>
      </c>
      <c r="J75" s="175" t="s">
        <v>82</v>
      </c>
      <c r="K75" s="175" t="s">
        <v>221</v>
      </c>
      <c r="L75" s="175" t="s">
        <v>509</v>
      </c>
      <c r="M75" s="175" t="s">
        <v>165</v>
      </c>
      <c r="N75" s="32">
        <v>2.4</v>
      </c>
      <c r="O75" s="210">
        <v>0</v>
      </c>
      <c r="P75" s="209">
        <v>0</v>
      </c>
      <c r="Q75" s="209">
        <v>1</v>
      </c>
      <c r="R75" s="209">
        <v>0</v>
      </c>
    </row>
    <row r="76" spans="1:18" s="58" customFormat="1" x14ac:dyDescent="0.25">
      <c r="A76" s="224" t="s">
        <v>622</v>
      </c>
      <c r="B76" s="221">
        <v>12</v>
      </c>
      <c r="C76" s="222">
        <v>1.1547000000000001</v>
      </c>
      <c r="D76" s="223">
        <v>3</v>
      </c>
      <c r="E76" s="220">
        <v>13</v>
      </c>
      <c r="F76" s="167" t="s">
        <v>442</v>
      </c>
      <c r="G76" s="39" t="s">
        <v>503</v>
      </c>
      <c r="H76" s="211" t="s">
        <v>623</v>
      </c>
      <c r="I76" s="212" t="s">
        <v>222</v>
      </c>
      <c r="J76" s="213" t="s">
        <v>82</v>
      </c>
      <c r="K76" s="213" t="s">
        <v>273</v>
      </c>
      <c r="L76" s="213" t="s">
        <v>324</v>
      </c>
      <c r="M76" s="213" t="s">
        <v>173</v>
      </c>
      <c r="N76" s="32">
        <v>7</v>
      </c>
      <c r="O76" s="210">
        <v>0</v>
      </c>
      <c r="P76" s="209">
        <v>0</v>
      </c>
      <c r="Q76" s="209">
        <v>1</v>
      </c>
      <c r="R76" s="209">
        <v>0</v>
      </c>
    </row>
    <row r="77" spans="1:18" s="58" customFormat="1" x14ac:dyDescent="0.25">
      <c r="A77" s="224" t="s">
        <v>624</v>
      </c>
      <c r="B77" s="221">
        <v>10.333299999999999</v>
      </c>
      <c r="C77" s="222">
        <v>1.2018500000000001</v>
      </c>
      <c r="D77" s="223">
        <v>3</v>
      </c>
      <c r="E77" s="220">
        <v>18</v>
      </c>
      <c r="F77" s="167" t="s">
        <v>442</v>
      </c>
      <c r="G77" s="39" t="s">
        <v>503</v>
      </c>
      <c r="H77" s="214" t="s">
        <v>624</v>
      </c>
      <c r="I77" s="212" t="s">
        <v>222</v>
      </c>
      <c r="J77" s="213" t="s">
        <v>82</v>
      </c>
      <c r="K77" s="213" t="s">
        <v>625</v>
      </c>
      <c r="L77" s="213" t="s">
        <v>626</v>
      </c>
      <c r="M77" s="213" t="s">
        <v>153</v>
      </c>
      <c r="N77" s="32">
        <v>4.5</v>
      </c>
      <c r="O77" s="210">
        <v>0</v>
      </c>
      <c r="P77" s="209">
        <v>0</v>
      </c>
      <c r="Q77" s="209">
        <v>1</v>
      </c>
      <c r="R77" s="209">
        <v>0</v>
      </c>
    </row>
    <row r="78" spans="1:18" s="58" customFormat="1" x14ac:dyDescent="0.25">
      <c r="A78" s="224" t="s">
        <v>627</v>
      </c>
      <c r="B78" s="221">
        <v>11.666700000000001</v>
      </c>
      <c r="C78" s="222">
        <v>1.6666700000000001</v>
      </c>
      <c r="D78" s="223">
        <v>3</v>
      </c>
      <c r="E78" s="220">
        <v>14</v>
      </c>
      <c r="F78" s="167" t="s">
        <v>442</v>
      </c>
      <c r="G78" s="39" t="s">
        <v>503</v>
      </c>
      <c r="H78" s="214" t="s">
        <v>627</v>
      </c>
      <c r="I78" s="212" t="s">
        <v>222</v>
      </c>
      <c r="J78" s="213" t="s">
        <v>82</v>
      </c>
      <c r="K78" s="213" t="s">
        <v>273</v>
      </c>
      <c r="L78" s="213" t="s">
        <v>628</v>
      </c>
      <c r="M78" s="213" t="s">
        <v>165</v>
      </c>
      <c r="N78" s="32">
        <v>2</v>
      </c>
      <c r="O78" s="210">
        <v>0</v>
      </c>
      <c r="P78" s="209">
        <v>0</v>
      </c>
      <c r="Q78" s="209">
        <v>0</v>
      </c>
      <c r="R78" s="209">
        <v>0</v>
      </c>
    </row>
    <row r="79" spans="1:18" s="58" customFormat="1" x14ac:dyDescent="0.25">
      <c r="A79" s="224" t="s">
        <v>629</v>
      </c>
      <c r="B79" s="221">
        <v>15.666700000000001</v>
      </c>
      <c r="C79" s="222">
        <v>1.3333299999999999</v>
      </c>
      <c r="D79" s="223">
        <v>3</v>
      </c>
      <c r="E79" s="220">
        <v>1</v>
      </c>
      <c r="F79" s="167" t="s">
        <v>442</v>
      </c>
      <c r="G79" s="39" t="s">
        <v>503</v>
      </c>
      <c r="H79" s="211" t="s">
        <v>630</v>
      </c>
      <c r="I79" s="213" t="s">
        <v>79</v>
      </c>
      <c r="J79" s="215" t="s">
        <v>216</v>
      </c>
      <c r="K79" s="215" t="s">
        <v>298</v>
      </c>
      <c r="L79" s="215" t="s">
        <v>327</v>
      </c>
      <c r="M79" s="213" t="s">
        <v>161</v>
      </c>
      <c r="N79" s="32">
        <v>4</v>
      </c>
      <c r="O79" s="210">
        <v>0</v>
      </c>
      <c r="P79" s="209">
        <v>0</v>
      </c>
      <c r="Q79" s="210">
        <v>1</v>
      </c>
      <c r="R79" s="209">
        <v>0</v>
      </c>
    </row>
    <row r="80" spans="1:18" s="58" customFormat="1" x14ac:dyDescent="0.25">
      <c r="A80" s="224" t="s">
        <v>631</v>
      </c>
      <c r="B80" s="221">
        <v>9.3332999999999995</v>
      </c>
      <c r="C80" s="222">
        <v>0.88192000000000004</v>
      </c>
      <c r="D80" s="223">
        <v>3</v>
      </c>
      <c r="E80" s="220">
        <v>20</v>
      </c>
      <c r="F80" s="167" t="s">
        <v>442</v>
      </c>
      <c r="G80" s="39" t="s">
        <v>503</v>
      </c>
      <c r="H80" s="216" t="s">
        <v>632</v>
      </c>
      <c r="I80" s="213" t="s">
        <v>79</v>
      </c>
      <c r="J80" s="215" t="s">
        <v>216</v>
      </c>
      <c r="K80" s="215" t="s">
        <v>294</v>
      </c>
      <c r="L80" s="215" t="s">
        <v>295</v>
      </c>
      <c r="M80" s="213" t="s">
        <v>165</v>
      </c>
      <c r="N80" s="32">
        <v>7</v>
      </c>
      <c r="O80" s="210">
        <v>0</v>
      </c>
      <c r="P80" s="209">
        <v>0</v>
      </c>
      <c r="Q80" s="209">
        <v>1</v>
      </c>
      <c r="R80" s="209">
        <v>0</v>
      </c>
    </row>
    <row r="81" spans="1:18" s="58" customFormat="1" x14ac:dyDescent="0.25">
      <c r="A81" s="224" t="s">
        <v>633</v>
      </c>
      <c r="B81" s="221">
        <v>9.3332999999999995</v>
      </c>
      <c r="C81" s="222">
        <v>0.66666999999999998</v>
      </c>
      <c r="D81" s="223">
        <v>3</v>
      </c>
      <c r="E81" s="220">
        <v>21</v>
      </c>
      <c r="F81" s="167" t="s">
        <v>442</v>
      </c>
      <c r="G81" s="39" t="s">
        <v>503</v>
      </c>
      <c r="H81" s="211" t="s">
        <v>633</v>
      </c>
      <c r="I81" s="212" t="s">
        <v>222</v>
      </c>
      <c r="J81" s="213" t="s">
        <v>634</v>
      </c>
      <c r="K81" s="217" t="s">
        <v>276</v>
      </c>
      <c r="L81" s="213" t="s">
        <v>277</v>
      </c>
      <c r="M81" s="213" t="s">
        <v>635</v>
      </c>
      <c r="N81" s="32">
        <v>4</v>
      </c>
      <c r="O81" s="210">
        <v>0</v>
      </c>
      <c r="P81" s="209">
        <v>0</v>
      </c>
      <c r="Q81" s="209">
        <v>1</v>
      </c>
      <c r="R81" s="209">
        <v>0</v>
      </c>
    </row>
    <row r="82" spans="1:18" s="58" customFormat="1" x14ac:dyDescent="0.25">
      <c r="A82" s="224" t="s">
        <v>636</v>
      </c>
      <c r="B82" s="221">
        <v>9.6667000000000005</v>
      </c>
      <c r="C82" s="222">
        <v>2.6666699999999999</v>
      </c>
      <c r="D82" s="223">
        <v>3</v>
      </c>
      <c r="E82" s="220">
        <v>19</v>
      </c>
      <c r="F82" s="167" t="s">
        <v>442</v>
      </c>
      <c r="G82" s="39" t="s">
        <v>503</v>
      </c>
      <c r="H82" s="216" t="s">
        <v>636</v>
      </c>
      <c r="I82" s="213" t="s">
        <v>85</v>
      </c>
      <c r="J82" s="213" t="s">
        <v>86</v>
      </c>
      <c r="K82" s="213" t="s">
        <v>319</v>
      </c>
      <c r="L82" s="213" t="s">
        <v>320</v>
      </c>
      <c r="M82" s="213" t="s">
        <v>196</v>
      </c>
      <c r="N82" s="32">
        <v>1.4</v>
      </c>
      <c r="O82" s="210">
        <v>0</v>
      </c>
      <c r="P82" s="210">
        <v>0</v>
      </c>
      <c r="Q82" s="210">
        <v>1</v>
      </c>
      <c r="R82" s="209">
        <v>0</v>
      </c>
    </row>
    <row r="83" spans="1:18" s="58" customFormat="1" x14ac:dyDescent="0.25">
      <c r="A83" s="224" t="s">
        <v>637</v>
      </c>
      <c r="B83" s="221">
        <v>15.333299999999999</v>
      </c>
      <c r="C83" s="222">
        <v>0.33333000000000002</v>
      </c>
      <c r="D83" s="223">
        <v>3</v>
      </c>
      <c r="E83" s="220">
        <v>2</v>
      </c>
      <c r="F83" s="167" t="s">
        <v>442</v>
      </c>
      <c r="G83" s="39" t="s">
        <v>503</v>
      </c>
      <c r="H83" s="211" t="s">
        <v>637</v>
      </c>
      <c r="I83" s="213" t="s">
        <v>85</v>
      </c>
      <c r="J83" s="213" t="s">
        <v>86</v>
      </c>
      <c r="K83" s="213" t="s">
        <v>282</v>
      </c>
      <c r="L83" s="213" t="s">
        <v>283</v>
      </c>
      <c r="M83" s="213" t="s">
        <v>176</v>
      </c>
      <c r="N83" s="32">
        <v>7</v>
      </c>
      <c r="O83" s="210">
        <v>0</v>
      </c>
      <c r="P83" s="210">
        <v>0</v>
      </c>
      <c r="Q83" s="210">
        <v>1</v>
      </c>
      <c r="R83" s="209">
        <v>0</v>
      </c>
    </row>
    <row r="84" spans="1:18" s="58" customFormat="1" x14ac:dyDescent="0.25">
      <c r="A84" s="224" t="s">
        <v>638</v>
      </c>
      <c r="B84" s="221">
        <v>13.5</v>
      </c>
      <c r="C84" s="222">
        <v>0.86602999999999997</v>
      </c>
      <c r="D84" s="223">
        <v>4</v>
      </c>
      <c r="E84" s="220">
        <v>7</v>
      </c>
      <c r="F84" s="167" t="s">
        <v>442</v>
      </c>
      <c r="G84" s="39" t="s">
        <v>503</v>
      </c>
      <c r="H84" s="211" t="s">
        <v>638</v>
      </c>
      <c r="I84" s="213" t="s">
        <v>81</v>
      </c>
      <c r="J84" s="218" t="s">
        <v>639</v>
      </c>
      <c r="K84" s="218" t="s">
        <v>640</v>
      </c>
      <c r="L84" s="218" t="s">
        <v>641</v>
      </c>
      <c r="M84" s="213" t="s">
        <v>642</v>
      </c>
      <c r="N84" s="32">
        <v>4</v>
      </c>
      <c r="O84" s="210">
        <v>0</v>
      </c>
      <c r="P84" s="209">
        <v>0</v>
      </c>
      <c r="Q84" s="209">
        <v>0</v>
      </c>
      <c r="R84" s="209">
        <v>0</v>
      </c>
    </row>
    <row r="85" spans="1:18" s="58" customFormat="1" x14ac:dyDescent="0.25">
      <c r="A85" s="224" t="s">
        <v>643</v>
      </c>
      <c r="B85" s="221">
        <v>12.333299999999999</v>
      </c>
      <c r="C85" s="222">
        <v>1.4529700000000001</v>
      </c>
      <c r="D85" s="223">
        <v>3</v>
      </c>
      <c r="E85" s="220">
        <v>11</v>
      </c>
      <c r="F85" s="167" t="s">
        <v>442</v>
      </c>
      <c r="G85" s="39" t="s">
        <v>503</v>
      </c>
      <c r="H85" s="219" t="s">
        <v>644</v>
      </c>
      <c r="I85" s="212" t="s">
        <v>222</v>
      </c>
      <c r="J85" s="213" t="s">
        <v>82</v>
      </c>
      <c r="K85" s="213" t="s">
        <v>273</v>
      </c>
      <c r="L85" s="213" t="s">
        <v>303</v>
      </c>
      <c r="M85" s="213" t="s">
        <v>184</v>
      </c>
      <c r="N85" s="32">
        <v>4.5</v>
      </c>
      <c r="O85" s="210">
        <v>0</v>
      </c>
      <c r="P85" s="209">
        <v>0</v>
      </c>
      <c r="Q85" s="209">
        <v>1</v>
      </c>
      <c r="R85" s="209">
        <v>0</v>
      </c>
    </row>
    <row r="86" spans="1:18" s="58" customFormat="1" x14ac:dyDescent="0.25">
      <c r="A86" s="224" t="s">
        <v>645</v>
      </c>
      <c r="B86" s="221">
        <v>12.6</v>
      </c>
      <c r="C86" s="222">
        <v>1.43527</v>
      </c>
      <c r="D86" s="223">
        <v>5</v>
      </c>
      <c r="E86" s="220">
        <v>9</v>
      </c>
      <c r="F86" s="167" t="s">
        <v>442</v>
      </c>
      <c r="G86" s="39" t="s">
        <v>503</v>
      </c>
      <c r="H86" s="211" t="s">
        <v>645</v>
      </c>
      <c r="I86" s="213" t="s">
        <v>85</v>
      </c>
      <c r="J86" s="213" t="s">
        <v>86</v>
      </c>
      <c r="K86" s="213" t="s">
        <v>307</v>
      </c>
      <c r="L86" s="213" t="s">
        <v>646</v>
      </c>
      <c r="M86" s="213" t="s">
        <v>647</v>
      </c>
      <c r="N86" s="32">
        <v>4</v>
      </c>
      <c r="O86" s="210">
        <v>0</v>
      </c>
      <c r="P86" s="210">
        <v>0</v>
      </c>
      <c r="Q86" s="210">
        <v>0</v>
      </c>
      <c r="R86" s="209">
        <v>0</v>
      </c>
    </row>
    <row r="87" spans="1:18" s="58" customFormat="1" ht="13.9" customHeight="1" x14ac:dyDescent="0.25">
      <c r="A87" s="224" t="s">
        <v>648</v>
      </c>
      <c r="B87" s="221">
        <v>15</v>
      </c>
      <c r="C87" s="222">
        <v>0</v>
      </c>
      <c r="D87" s="223">
        <v>4</v>
      </c>
      <c r="E87" s="220">
        <v>3</v>
      </c>
      <c r="F87" s="167" t="s">
        <v>442</v>
      </c>
      <c r="G87" s="39" t="s">
        <v>503</v>
      </c>
      <c r="H87" s="216" t="s">
        <v>649</v>
      </c>
      <c r="I87" s="215" t="s">
        <v>81</v>
      </c>
      <c r="J87" s="215" t="s">
        <v>639</v>
      </c>
      <c r="K87" s="215" t="s">
        <v>640</v>
      </c>
      <c r="L87" s="215" t="s">
        <v>650</v>
      </c>
      <c r="M87" s="213" t="s">
        <v>651</v>
      </c>
      <c r="N87" s="32">
        <v>5</v>
      </c>
      <c r="O87" s="210">
        <v>0</v>
      </c>
      <c r="P87" s="210">
        <v>1</v>
      </c>
      <c r="Q87" s="210">
        <v>0</v>
      </c>
      <c r="R87" s="209">
        <v>0</v>
      </c>
    </row>
    <row r="88" spans="1:18" s="58" customFormat="1" x14ac:dyDescent="0.25">
      <c r="A88" s="224" t="s">
        <v>652</v>
      </c>
      <c r="B88" s="221">
        <v>13.666700000000001</v>
      </c>
      <c r="C88" s="222">
        <v>2.4037000000000002</v>
      </c>
      <c r="D88" s="223">
        <v>3</v>
      </c>
      <c r="E88" s="220">
        <v>6</v>
      </c>
      <c r="F88" s="167" t="s">
        <v>442</v>
      </c>
      <c r="G88" s="39" t="s">
        <v>503</v>
      </c>
      <c r="H88" s="211" t="s">
        <v>653</v>
      </c>
      <c r="I88" s="213" t="s">
        <v>79</v>
      </c>
      <c r="J88" s="215" t="s">
        <v>216</v>
      </c>
      <c r="K88" s="215" t="s">
        <v>298</v>
      </c>
      <c r="L88" s="215" t="s">
        <v>327</v>
      </c>
      <c r="M88" s="213" t="s">
        <v>193</v>
      </c>
      <c r="N88" s="140">
        <v>4</v>
      </c>
      <c r="O88" s="210">
        <v>0</v>
      </c>
      <c r="P88" s="209">
        <v>0</v>
      </c>
      <c r="Q88" s="210">
        <v>1</v>
      </c>
      <c r="R88" s="209">
        <v>0</v>
      </c>
    </row>
    <row r="89" spans="1:18" s="58" customFormat="1" x14ac:dyDescent="0.25">
      <c r="A89" s="224" t="s">
        <v>654</v>
      </c>
      <c r="B89" s="221">
        <v>11</v>
      </c>
      <c r="C89" s="222">
        <v>2.3094000000000001</v>
      </c>
      <c r="D89" s="223">
        <v>3</v>
      </c>
      <c r="E89" s="220">
        <v>16</v>
      </c>
      <c r="F89" s="167" t="s">
        <v>442</v>
      </c>
      <c r="G89" s="39" t="s">
        <v>503</v>
      </c>
      <c r="H89" s="199" t="s">
        <v>654</v>
      </c>
      <c r="I89" s="213" t="s">
        <v>85</v>
      </c>
      <c r="J89" s="213" t="s">
        <v>86</v>
      </c>
      <c r="K89" s="213" t="s">
        <v>655</v>
      </c>
      <c r="L89" s="213" t="s">
        <v>656</v>
      </c>
      <c r="M89" s="213" t="s">
        <v>657</v>
      </c>
      <c r="N89" s="32">
        <v>4</v>
      </c>
      <c r="O89" s="210">
        <v>0</v>
      </c>
      <c r="P89" s="209">
        <v>0</v>
      </c>
      <c r="Q89" s="210">
        <v>1</v>
      </c>
      <c r="R89" s="209">
        <v>0</v>
      </c>
    </row>
    <row r="90" spans="1:18" s="58" customFormat="1" x14ac:dyDescent="0.25">
      <c r="A90" s="224" t="s">
        <v>658</v>
      </c>
      <c r="B90" s="221">
        <v>14.25</v>
      </c>
      <c r="C90" s="222">
        <v>1.43614</v>
      </c>
      <c r="D90" s="223">
        <v>4</v>
      </c>
      <c r="E90" s="220">
        <v>4</v>
      </c>
      <c r="F90" s="167" t="s">
        <v>442</v>
      </c>
      <c r="G90" s="39" t="s">
        <v>503</v>
      </c>
      <c r="H90" s="211" t="s">
        <v>658</v>
      </c>
      <c r="I90" s="213" t="s">
        <v>85</v>
      </c>
      <c r="J90" s="213" t="s">
        <v>87</v>
      </c>
      <c r="K90" s="213" t="s">
        <v>281</v>
      </c>
      <c r="L90" s="213" t="s">
        <v>346</v>
      </c>
      <c r="M90" s="213" t="s">
        <v>165</v>
      </c>
      <c r="N90" s="32">
        <v>3</v>
      </c>
      <c r="O90" s="210">
        <v>0</v>
      </c>
      <c r="P90" s="209">
        <v>0</v>
      </c>
      <c r="Q90" s="209">
        <v>1</v>
      </c>
      <c r="R90" s="209">
        <v>0</v>
      </c>
    </row>
    <row r="91" spans="1:18" x14ac:dyDescent="0.25">
      <c r="F91" s="79"/>
      <c r="G91" s="56"/>
      <c r="H91" s="56"/>
      <c r="I91" s="56"/>
      <c r="J91" s="56"/>
      <c r="K91" s="56"/>
      <c r="L91" s="56"/>
      <c r="M91" s="152"/>
      <c r="N91" s="153"/>
      <c r="O91" s="138">
        <f>SUM(O2:O90)</f>
        <v>12</v>
      </c>
      <c r="P91" s="138"/>
      <c r="Q91" s="138"/>
      <c r="R91" s="138"/>
    </row>
    <row r="92" spans="1:18" x14ac:dyDescent="0.25">
      <c r="F92" s="79"/>
      <c r="G92" s="56"/>
      <c r="H92" s="151"/>
      <c r="I92" s="47"/>
      <c r="J92" s="47"/>
      <c r="K92" s="47"/>
      <c r="L92" s="47"/>
      <c r="M92" s="47"/>
      <c r="O92" s="40"/>
      <c r="P92" s="40"/>
      <c r="Q92" s="40"/>
      <c r="R92" s="40"/>
    </row>
    <row r="93" spans="1:18" x14ac:dyDescent="0.25">
      <c r="G93" s="56"/>
      <c r="H93" s="151"/>
      <c r="I93" s="47"/>
      <c r="J93" s="48"/>
      <c r="K93" s="48"/>
      <c r="L93" s="48"/>
      <c r="M93" s="154"/>
      <c r="N93" s="154"/>
      <c r="O93" s="53"/>
      <c r="P93" s="53"/>
      <c r="Q93" s="53"/>
      <c r="R93" s="53"/>
    </row>
    <row r="94" spans="1:18" x14ac:dyDescent="0.25">
      <c r="G94" s="56"/>
      <c r="H94" s="151"/>
      <c r="I94" s="47"/>
      <c r="J94" s="150"/>
      <c r="K94" s="150"/>
      <c r="L94" s="150"/>
      <c r="M94" s="155"/>
      <c r="N94" s="155"/>
      <c r="O94" s="53"/>
      <c r="P94" s="53"/>
      <c r="Q94" s="53"/>
      <c r="R94" s="53"/>
    </row>
    <row r="95" spans="1:18" x14ac:dyDescent="0.25">
      <c r="G95" s="56"/>
      <c r="H95" s="56"/>
      <c r="I95" s="56"/>
      <c r="J95" s="56"/>
      <c r="K95" s="56"/>
      <c r="L95" s="56"/>
      <c r="M95" s="30"/>
      <c r="N95" s="30"/>
      <c r="O95" s="53"/>
      <c r="P95" s="53"/>
      <c r="Q95" s="53"/>
      <c r="R95" s="53"/>
    </row>
    <row r="96" spans="1:18" x14ac:dyDescent="0.25">
      <c r="G96" s="56"/>
      <c r="H96" s="56"/>
      <c r="I96" s="56"/>
      <c r="J96" s="56"/>
      <c r="K96" s="56"/>
      <c r="L96" s="56"/>
      <c r="M96" s="30"/>
      <c r="N96" s="30"/>
      <c r="O96" s="53"/>
      <c r="P96" s="53"/>
      <c r="Q96" s="53"/>
      <c r="R96" s="53"/>
    </row>
    <row r="97" spans="6:18" x14ac:dyDescent="0.25">
      <c r="G97" s="56"/>
      <c r="H97" s="56"/>
      <c r="I97" s="56"/>
      <c r="J97" s="56"/>
      <c r="K97" s="56"/>
      <c r="L97" s="56"/>
      <c r="M97" s="56"/>
      <c r="O97" s="53"/>
      <c r="P97" s="53"/>
      <c r="Q97" s="53"/>
      <c r="R97" s="53"/>
    </row>
    <row r="98" spans="6:18" x14ac:dyDescent="0.25">
      <c r="G98" s="56"/>
      <c r="H98" s="56"/>
      <c r="I98" s="56"/>
      <c r="J98" s="56"/>
      <c r="K98" s="56"/>
      <c r="L98" s="56"/>
      <c r="M98" s="56"/>
      <c r="O98" s="40"/>
      <c r="P98" s="40"/>
      <c r="Q98" s="40"/>
      <c r="R98" s="40"/>
    </row>
    <row r="99" spans="6:18" x14ac:dyDescent="0.25">
      <c r="G99" s="56"/>
      <c r="H99" s="56"/>
      <c r="I99" s="56"/>
      <c r="J99" s="56"/>
      <c r="K99" s="56"/>
      <c r="L99" s="56"/>
      <c r="M99" s="56"/>
      <c r="O99" s="40"/>
      <c r="P99" s="40"/>
      <c r="Q99" s="40"/>
      <c r="R99" s="40"/>
    </row>
    <row r="100" spans="6:18" x14ac:dyDescent="0.25">
      <c r="G100" s="56"/>
      <c r="H100" s="56"/>
      <c r="I100" s="56"/>
      <c r="J100" s="56"/>
      <c r="K100" s="56"/>
      <c r="L100" s="56"/>
      <c r="M100" s="56"/>
      <c r="O100" s="136"/>
      <c r="P100" s="137"/>
      <c r="Q100" s="136"/>
    </row>
    <row r="101" spans="6:18" x14ac:dyDescent="0.25">
      <c r="G101" s="56"/>
      <c r="H101" s="56"/>
      <c r="I101" s="56"/>
      <c r="J101" s="56"/>
      <c r="K101" s="56"/>
      <c r="L101" s="56"/>
      <c r="M101" s="56"/>
      <c r="O101" s="143"/>
      <c r="P101" s="143"/>
      <c r="Q101" s="143"/>
    </row>
    <row r="102" spans="6:18" x14ac:dyDescent="0.25">
      <c r="F102" s="79"/>
      <c r="G102" s="56"/>
      <c r="H102" s="56"/>
      <c r="I102" s="56"/>
      <c r="J102" s="56"/>
      <c r="K102" s="56"/>
      <c r="L102" s="56"/>
      <c r="M102" s="56"/>
      <c r="O102" s="138"/>
      <c r="P102" s="139"/>
      <c r="Q102" s="139"/>
    </row>
    <row r="103" spans="6:18" x14ac:dyDescent="0.25">
      <c r="F103" s="79"/>
      <c r="G103" s="56"/>
      <c r="H103" s="56"/>
      <c r="I103" s="56"/>
      <c r="J103" s="56"/>
      <c r="K103" s="56"/>
      <c r="L103" s="56"/>
      <c r="M103" s="56"/>
      <c r="O103" s="138"/>
      <c r="P103" s="139"/>
      <c r="Q103" s="139"/>
    </row>
    <row r="104" spans="6:18" x14ac:dyDescent="0.25">
      <c r="F104" s="79"/>
      <c r="G104" s="56"/>
      <c r="H104" s="56"/>
      <c r="I104" s="56"/>
      <c r="J104" s="56"/>
      <c r="K104" s="56"/>
      <c r="L104" s="56"/>
      <c r="M104" s="56"/>
      <c r="O104" s="138"/>
      <c r="P104" s="139"/>
      <c r="Q104" s="139"/>
    </row>
    <row r="105" spans="6:18" x14ac:dyDescent="0.25">
      <c r="G105" s="56"/>
      <c r="H105" s="56"/>
      <c r="I105" s="56"/>
      <c r="J105" s="56"/>
      <c r="K105" s="56"/>
      <c r="L105" s="56"/>
      <c r="M105" s="56"/>
      <c r="O105" s="136"/>
      <c r="P105" s="156"/>
      <c r="Q105" s="136"/>
    </row>
    <row r="106" spans="6:18" x14ac:dyDescent="0.25">
      <c r="F106" s="79"/>
      <c r="G106" s="56"/>
      <c r="H106" s="56"/>
      <c r="I106" s="56"/>
      <c r="J106" s="56"/>
      <c r="K106" s="56"/>
      <c r="L106" s="56"/>
      <c r="M106" s="56"/>
      <c r="O106" s="138"/>
      <c r="P106" s="139"/>
      <c r="Q106" s="139"/>
    </row>
    <row r="107" spans="6:18" x14ac:dyDescent="0.25">
      <c r="F107" s="79"/>
      <c r="G107" s="56"/>
      <c r="H107" s="56"/>
      <c r="I107" s="56"/>
      <c r="J107" s="56"/>
      <c r="K107" s="56"/>
      <c r="L107" s="56"/>
      <c r="M107" s="56"/>
      <c r="O107" s="138"/>
      <c r="P107" s="139"/>
      <c r="Q107" s="139"/>
    </row>
    <row r="108" spans="6:18" x14ac:dyDescent="0.25">
      <c r="F108" s="79"/>
      <c r="G108" s="56"/>
      <c r="H108" s="56"/>
      <c r="I108" s="56"/>
      <c r="J108" s="56"/>
      <c r="K108" s="56"/>
      <c r="L108" s="56"/>
      <c r="M108" s="56"/>
      <c r="O108" s="138"/>
      <c r="P108" s="139"/>
      <c r="Q108" s="139"/>
    </row>
    <row r="109" spans="6:18" x14ac:dyDescent="0.25">
      <c r="G109" s="56"/>
      <c r="H109" s="56"/>
      <c r="I109" s="56"/>
      <c r="J109" s="56"/>
      <c r="K109" s="56"/>
      <c r="L109" s="56"/>
      <c r="M109" s="56"/>
      <c r="O109" s="136"/>
      <c r="P109" s="137"/>
      <c r="Q109" s="136"/>
    </row>
    <row r="110" spans="6:18" x14ac:dyDescent="0.25">
      <c r="G110" s="56"/>
      <c r="H110" s="56"/>
      <c r="I110" s="56"/>
      <c r="J110" s="56"/>
      <c r="K110" s="56"/>
      <c r="L110" s="56"/>
      <c r="M110" s="56"/>
      <c r="O110" s="136"/>
      <c r="P110" s="137"/>
      <c r="Q110" s="136"/>
    </row>
    <row r="111" spans="6:18" x14ac:dyDescent="0.25">
      <c r="G111" s="56"/>
      <c r="H111" s="56"/>
      <c r="I111" s="56"/>
      <c r="J111" s="56"/>
      <c r="K111" s="56"/>
      <c r="L111" s="56"/>
      <c r="M111" s="56"/>
      <c r="O111" s="136"/>
      <c r="P111" s="156"/>
      <c r="Q111" s="136"/>
    </row>
    <row r="112" spans="6:18" x14ac:dyDescent="0.25">
      <c r="G112" s="56"/>
      <c r="H112" s="56"/>
      <c r="I112" s="56"/>
      <c r="J112" s="56"/>
      <c r="K112" s="56"/>
      <c r="L112" s="56"/>
      <c r="M112" s="56"/>
      <c r="O112" s="136"/>
      <c r="P112" s="137"/>
      <c r="Q112" s="136"/>
    </row>
    <row r="113" spans="6:18" x14ac:dyDescent="0.25">
      <c r="F113" s="79"/>
      <c r="G113" s="56"/>
      <c r="H113" s="56"/>
      <c r="I113" s="56"/>
      <c r="J113" s="56"/>
      <c r="K113" s="56"/>
      <c r="L113" s="56"/>
      <c r="M113" s="56"/>
      <c r="N113" s="56"/>
      <c r="O113" s="138"/>
      <c r="P113" s="139"/>
      <c r="Q113" s="139"/>
      <c r="R113" s="56"/>
    </row>
    <row r="114" spans="6:18" x14ac:dyDescent="0.25">
      <c r="F114" s="79"/>
      <c r="G114" s="56"/>
      <c r="H114" s="56"/>
      <c r="I114" s="56"/>
      <c r="J114" s="56"/>
      <c r="K114" s="56"/>
      <c r="L114" s="56"/>
      <c r="M114" s="56"/>
      <c r="N114" s="56"/>
      <c r="O114" s="138"/>
      <c r="P114" s="139"/>
      <c r="Q114" s="139"/>
      <c r="R114" s="56"/>
    </row>
    <row r="115" spans="6:18" x14ac:dyDescent="0.25">
      <c r="G115" s="56"/>
      <c r="H115" s="56"/>
      <c r="I115" s="56"/>
      <c r="J115" s="56"/>
      <c r="K115" s="56"/>
      <c r="L115" s="56"/>
      <c r="M115" s="56"/>
      <c r="N115" s="56"/>
      <c r="O115" s="143"/>
      <c r="P115" s="143"/>
      <c r="Q115" s="143"/>
      <c r="R115" s="56"/>
    </row>
    <row r="116" spans="6:18" x14ac:dyDescent="0.25">
      <c r="G116" s="56"/>
      <c r="H116" s="56"/>
      <c r="I116" s="56"/>
      <c r="J116" s="56"/>
      <c r="K116" s="56"/>
      <c r="L116" s="56"/>
      <c r="M116" s="56"/>
      <c r="N116" s="56"/>
      <c r="O116" s="136"/>
      <c r="P116" s="137"/>
      <c r="Q116" s="136"/>
      <c r="R116" s="56"/>
    </row>
    <row r="117" spans="6:18" x14ac:dyDescent="0.25">
      <c r="G117" s="56"/>
      <c r="H117" s="56"/>
      <c r="I117" s="56"/>
      <c r="J117" s="56"/>
      <c r="K117" s="56"/>
      <c r="L117" s="56"/>
      <c r="M117" s="56"/>
      <c r="N117" s="56"/>
      <c r="O117" s="136"/>
      <c r="P117" s="137"/>
      <c r="Q117" s="136"/>
      <c r="R117" s="56"/>
    </row>
    <row r="118" spans="6:18" x14ac:dyDescent="0.25">
      <c r="F118" s="79"/>
      <c r="G118" s="56"/>
      <c r="H118" s="56"/>
      <c r="I118" s="56"/>
      <c r="J118" s="56"/>
      <c r="K118" s="56"/>
      <c r="L118" s="56"/>
      <c r="M118" s="56"/>
      <c r="N118" s="56"/>
      <c r="O118" s="138"/>
      <c r="P118" s="139"/>
      <c r="Q118" s="139"/>
      <c r="R118" s="56"/>
    </row>
    <row r="119" spans="6:18" x14ac:dyDescent="0.25">
      <c r="F119" s="79"/>
      <c r="G119" s="56"/>
      <c r="H119" s="56"/>
      <c r="I119" s="56"/>
      <c r="J119" s="56"/>
      <c r="K119" s="56"/>
      <c r="L119" s="56"/>
      <c r="M119" s="56"/>
      <c r="N119" s="56"/>
      <c r="O119" s="138"/>
      <c r="P119" s="139"/>
      <c r="Q119" s="139"/>
      <c r="R119" s="56"/>
    </row>
    <row r="120" spans="6:18" x14ac:dyDescent="0.25">
      <c r="G120" s="56"/>
      <c r="H120" s="56"/>
      <c r="I120" s="56"/>
      <c r="J120" s="56"/>
      <c r="K120" s="56"/>
      <c r="L120" s="56"/>
      <c r="M120" s="56"/>
      <c r="N120" s="56"/>
      <c r="O120" s="143"/>
      <c r="P120" s="143"/>
      <c r="Q120" s="143"/>
      <c r="R120" s="56"/>
    </row>
    <row r="121" spans="6:18" x14ac:dyDescent="0.25">
      <c r="G121" s="56"/>
      <c r="H121" s="56"/>
      <c r="I121" s="56"/>
      <c r="J121" s="56"/>
      <c r="K121" s="56"/>
      <c r="L121" s="56"/>
      <c r="M121" s="56"/>
      <c r="N121" s="56"/>
      <c r="O121" s="143"/>
      <c r="P121" s="143"/>
      <c r="Q121" s="143"/>
      <c r="R121" s="56"/>
    </row>
    <row r="122" spans="6:18" x14ac:dyDescent="0.25">
      <c r="G122" s="56"/>
      <c r="H122" s="56"/>
      <c r="I122" s="56"/>
      <c r="J122" s="56"/>
      <c r="K122" s="56"/>
      <c r="L122" s="56"/>
      <c r="M122" s="56"/>
      <c r="N122" s="56"/>
      <c r="O122" s="143"/>
      <c r="P122" s="143"/>
      <c r="Q122" s="143"/>
      <c r="R122" s="56"/>
    </row>
    <row r="123" spans="6:18" x14ac:dyDescent="0.25">
      <c r="F123" s="79"/>
      <c r="G123" s="56"/>
      <c r="H123" s="56"/>
      <c r="I123" s="56"/>
      <c r="J123" s="56"/>
      <c r="K123" s="56"/>
      <c r="L123" s="56"/>
      <c r="M123" s="56"/>
      <c r="N123" s="56"/>
      <c r="O123" s="138"/>
      <c r="P123" s="139"/>
      <c r="Q123" s="139"/>
      <c r="R123" s="56"/>
    </row>
    <row r="124" spans="6:18" x14ac:dyDescent="0.25">
      <c r="F124" s="79"/>
      <c r="G124" s="56"/>
      <c r="H124" s="56"/>
      <c r="I124" s="56"/>
      <c r="J124" s="56"/>
      <c r="K124" s="56"/>
      <c r="L124" s="56"/>
      <c r="M124" s="56"/>
      <c r="N124" s="56"/>
      <c r="O124" s="138"/>
      <c r="P124" s="139"/>
      <c r="Q124" s="139"/>
      <c r="R124" s="56"/>
    </row>
    <row r="125" spans="6:18" x14ac:dyDescent="0.25">
      <c r="F125" s="79"/>
      <c r="G125" s="56"/>
      <c r="H125" s="56"/>
      <c r="I125" s="56"/>
      <c r="J125" s="56"/>
      <c r="K125" s="56"/>
      <c r="L125" s="56"/>
      <c r="M125" s="56"/>
      <c r="N125" s="56"/>
      <c r="O125" s="138"/>
      <c r="P125" s="139"/>
      <c r="Q125" s="139"/>
      <c r="R125" s="56"/>
    </row>
    <row r="126" spans="6:18" x14ac:dyDescent="0.25">
      <c r="F126" s="79"/>
      <c r="G126" s="56"/>
      <c r="H126" s="56"/>
      <c r="I126" s="56"/>
      <c r="J126" s="56"/>
      <c r="K126" s="56"/>
      <c r="L126" s="56"/>
      <c r="M126" s="56"/>
      <c r="N126" s="56"/>
      <c r="O126" s="138"/>
      <c r="P126" s="141"/>
      <c r="Q126" s="139"/>
      <c r="R126" s="56"/>
    </row>
    <row r="127" spans="6:18" x14ac:dyDescent="0.25">
      <c r="G127" s="56"/>
      <c r="H127" s="56"/>
      <c r="I127" s="56"/>
      <c r="J127" s="56"/>
      <c r="K127" s="56"/>
      <c r="L127" s="56"/>
      <c r="M127" s="56"/>
      <c r="N127" s="56"/>
      <c r="O127" s="136"/>
      <c r="P127" s="137"/>
      <c r="Q127" s="136"/>
      <c r="R127" s="56"/>
    </row>
    <row r="128" spans="6:18" x14ac:dyDescent="0.25">
      <c r="G128" s="56"/>
      <c r="H128" s="56"/>
      <c r="I128" s="56"/>
      <c r="J128" s="56"/>
      <c r="K128" s="56"/>
      <c r="L128" s="56"/>
      <c r="M128" s="56"/>
      <c r="N128" s="56"/>
      <c r="O128" s="136"/>
      <c r="P128" s="136"/>
      <c r="Q128" s="136"/>
      <c r="R128" s="56"/>
    </row>
    <row r="129" spans="6:18" x14ac:dyDescent="0.25">
      <c r="G129" s="56"/>
      <c r="H129" s="56"/>
      <c r="I129" s="56"/>
      <c r="J129" s="56"/>
      <c r="K129" s="56"/>
      <c r="L129" s="56"/>
      <c r="M129" s="56"/>
      <c r="N129" s="56"/>
      <c r="O129" s="136"/>
      <c r="P129" s="137"/>
      <c r="Q129" s="136"/>
      <c r="R129" s="56"/>
    </row>
    <row r="130" spans="6:18" x14ac:dyDescent="0.25">
      <c r="F130" s="79"/>
      <c r="G130" s="56"/>
      <c r="H130" s="56"/>
      <c r="I130" s="56"/>
      <c r="J130" s="56"/>
      <c r="K130" s="56"/>
      <c r="L130" s="56"/>
      <c r="M130" s="56"/>
      <c r="N130" s="56"/>
      <c r="O130" s="138"/>
      <c r="P130" s="138"/>
      <c r="Q130" s="138"/>
      <c r="R130" s="56"/>
    </row>
    <row r="131" spans="6:18" x14ac:dyDescent="0.25">
      <c r="G131" s="56"/>
      <c r="H131" s="56"/>
      <c r="I131" s="56"/>
      <c r="J131" s="56"/>
      <c r="K131" s="56"/>
      <c r="L131" s="56"/>
      <c r="M131" s="56"/>
      <c r="N131" s="56"/>
      <c r="O131" s="143"/>
      <c r="P131" s="143"/>
      <c r="Q131" s="143"/>
      <c r="R131" s="56"/>
    </row>
    <row r="132" spans="6:18" x14ac:dyDescent="0.25">
      <c r="G132" s="56"/>
      <c r="H132" s="56"/>
      <c r="I132" s="56"/>
      <c r="J132" s="56"/>
      <c r="K132" s="56"/>
      <c r="L132" s="56"/>
      <c r="M132" s="56"/>
      <c r="N132" s="56"/>
      <c r="O132" s="136"/>
      <c r="P132" s="137"/>
      <c r="Q132" s="136"/>
      <c r="R132" s="56"/>
    </row>
    <row r="133" spans="6:18" x14ac:dyDescent="0.25">
      <c r="F133" s="79"/>
      <c r="G133" s="56"/>
      <c r="H133" s="56"/>
      <c r="I133" s="56"/>
      <c r="J133" s="56"/>
      <c r="K133" s="56"/>
      <c r="L133" s="56"/>
      <c r="M133" s="56"/>
      <c r="N133" s="56"/>
      <c r="O133" s="138"/>
      <c r="P133" s="138"/>
      <c r="Q133" s="138"/>
      <c r="R133" s="56"/>
    </row>
    <row r="134" spans="6:18" x14ac:dyDescent="0.25">
      <c r="G134" s="56"/>
      <c r="H134" s="56"/>
      <c r="I134" s="56"/>
      <c r="J134" s="56"/>
      <c r="K134" s="56"/>
      <c r="L134" s="56"/>
      <c r="M134" s="56"/>
      <c r="N134" s="56"/>
      <c r="O134" s="136"/>
      <c r="P134" s="137"/>
      <c r="Q134" s="136"/>
      <c r="R134" s="56"/>
    </row>
    <row r="135" spans="6:18" x14ac:dyDescent="0.25">
      <c r="G135" s="56"/>
      <c r="H135" s="56"/>
      <c r="I135" s="56"/>
      <c r="J135" s="56"/>
      <c r="K135" s="56"/>
      <c r="L135" s="56"/>
      <c r="M135" s="56"/>
      <c r="N135" s="56"/>
      <c r="O135" s="136"/>
      <c r="P135" s="136"/>
      <c r="Q135" s="136"/>
      <c r="R135" s="56"/>
    </row>
    <row r="136" spans="6:18" x14ac:dyDescent="0.25">
      <c r="G136" s="56"/>
      <c r="H136" s="56"/>
      <c r="I136" s="56"/>
      <c r="J136" s="56"/>
      <c r="K136" s="56"/>
      <c r="L136" s="56"/>
      <c r="M136" s="56"/>
      <c r="N136" s="56"/>
      <c r="O136" s="136"/>
      <c r="P136" s="137"/>
      <c r="Q136" s="136"/>
      <c r="R136" s="56"/>
    </row>
    <row r="137" spans="6:18" x14ac:dyDescent="0.25">
      <c r="G137" s="56"/>
      <c r="H137" s="56"/>
      <c r="I137" s="56"/>
      <c r="J137" s="56"/>
      <c r="K137" s="56"/>
      <c r="L137" s="56"/>
      <c r="M137" s="56"/>
      <c r="N137" s="56"/>
      <c r="O137" s="136"/>
      <c r="P137" s="136"/>
      <c r="Q137" s="136"/>
      <c r="R137" s="56"/>
    </row>
    <row r="138" spans="6:18" x14ac:dyDescent="0.25">
      <c r="F138" s="79"/>
      <c r="G138" s="56"/>
      <c r="H138" s="56"/>
      <c r="I138" s="56"/>
      <c r="J138" s="56"/>
      <c r="K138" s="56"/>
      <c r="L138" s="56"/>
      <c r="M138" s="56"/>
      <c r="N138" s="56"/>
      <c r="O138" s="138"/>
      <c r="P138" s="138"/>
      <c r="Q138" s="138"/>
      <c r="R138" s="56"/>
    </row>
    <row r="139" spans="6:18" x14ac:dyDescent="0.25">
      <c r="F139" s="79"/>
      <c r="G139" s="56"/>
      <c r="H139" s="56"/>
      <c r="I139" s="56"/>
      <c r="J139" s="56"/>
      <c r="K139" s="56"/>
      <c r="L139" s="56"/>
      <c r="M139" s="56"/>
      <c r="N139" s="56"/>
      <c r="O139" s="138"/>
      <c r="P139" s="138"/>
      <c r="Q139" s="138"/>
      <c r="R139" s="56"/>
    </row>
    <row r="140" spans="6:18" x14ac:dyDescent="0.25">
      <c r="G140" s="56"/>
      <c r="H140" s="56"/>
      <c r="I140" s="56"/>
      <c r="J140" s="56"/>
      <c r="K140" s="56"/>
      <c r="L140" s="56"/>
      <c r="M140" s="56"/>
      <c r="N140" s="56"/>
      <c r="O140" s="136"/>
      <c r="P140" s="136"/>
      <c r="Q140" s="136"/>
      <c r="R140" s="56"/>
    </row>
    <row r="141" spans="6:18" x14ac:dyDescent="0.25">
      <c r="F141" s="79"/>
      <c r="G141" s="56"/>
      <c r="N141" s="56"/>
      <c r="O141" s="138"/>
      <c r="P141" s="139"/>
      <c r="Q141" s="139"/>
      <c r="R141" s="56"/>
    </row>
    <row r="142" spans="6:18" x14ac:dyDescent="0.25">
      <c r="F142" s="79"/>
      <c r="G142" s="56"/>
      <c r="N142" s="56"/>
      <c r="O142" s="138"/>
      <c r="P142" s="139"/>
      <c r="Q142" s="139"/>
      <c r="R142" s="56"/>
    </row>
    <row r="143" spans="6:18" x14ac:dyDescent="0.25">
      <c r="F143" s="79"/>
      <c r="G143" s="56"/>
      <c r="N143" s="56"/>
      <c r="O143" s="138"/>
      <c r="P143" s="139"/>
      <c r="Q143" s="139"/>
      <c r="R143" s="56"/>
    </row>
    <row r="144" spans="6:18" x14ac:dyDescent="0.25">
      <c r="F144" s="79"/>
      <c r="G144" s="56"/>
      <c r="N144" s="56"/>
      <c r="O144" s="138"/>
      <c r="P144" s="139"/>
      <c r="Q144" s="139"/>
      <c r="R144" s="56"/>
    </row>
    <row r="145" spans="6:18" x14ac:dyDescent="0.25">
      <c r="F145" s="79"/>
      <c r="G145" s="56"/>
      <c r="N145" s="56"/>
      <c r="O145" s="138"/>
      <c r="P145" s="139"/>
      <c r="Q145" s="139"/>
      <c r="R145" s="56"/>
    </row>
    <row r="146" spans="6:18" x14ac:dyDescent="0.25">
      <c r="F146" s="79"/>
      <c r="G146" s="56"/>
      <c r="N146" s="56"/>
      <c r="O146" s="138"/>
      <c r="P146" s="139"/>
      <c r="Q146" s="139"/>
      <c r="R146" s="56"/>
    </row>
    <row r="147" spans="6:18" x14ac:dyDescent="0.25">
      <c r="F147" s="79"/>
      <c r="G147" s="56"/>
      <c r="N147" s="56"/>
      <c r="O147" s="138"/>
      <c r="P147" s="139"/>
      <c r="Q147" s="139"/>
      <c r="R147" s="56"/>
    </row>
    <row r="148" spans="6:18" x14ac:dyDescent="0.25">
      <c r="F148" s="79"/>
      <c r="G148" s="56"/>
      <c r="N148" s="56"/>
      <c r="O148" s="138"/>
      <c r="P148" s="139"/>
      <c r="Q148" s="139"/>
      <c r="R148" s="56"/>
    </row>
    <row r="149" spans="6:18" x14ac:dyDescent="0.25">
      <c r="G149" s="56"/>
      <c r="N149" s="56"/>
      <c r="O149" s="143"/>
      <c r="P149" s="143"/>
      <c r="Q149" s="143"/>
      <c r="R149" s="56"/>
    </row>
    <row r="150" spans="6:18" x14ac:dyDescent="0.25">
      <c r="G150" s="56"/>
      <c r="N150" s="56"/>
      <c r="O150" s="136"/>
      <c r="P150" s="137"/>
      <c r="Q150" s="136"/>
      <c r="R150" s="56"/>
    </row>
    <row r="151" spans="6:18" x14ac:dyDescent="0.25">
      <c r="F151" s="79"/>
      <c r="G151" s="56"/>
      <c r="N151" s="56"/>
      <c r="O151" s="138"/>
      <c r="P151" s="139"/>
      <c r="Q151" s="139"/>
      <c r="R151" s="56"/>
    </row>
    <row r="152" spans="6:18" x14ac:dyDescent="0.25">
      <c r="G152" s="56"/>
      <c r="N152" s="56"/>
      <c r="O152" s="136"/>
      <c r="P152" s="137"/>
      <c r="Q152" s="136"/>
      <c r="R152" s="56"/>
    </row>
    <row r="153" spans="6:18" x14ac:dyDescent="0.25">
      <c r="G153" s="56"/>
      <c r="N153" s="56"/>
      <c r="O153" s="143"/>
      <c r="P153" s="143"/>
      <c r="Q153" s="143"/>
      <c r="R153" s="56"/>
    </row>
    <row r="154" spans="6:18" x14ac:dyDescent="0.25">
      <c r="G154" s="56"/>
      <c r="N154" s="56"/>
      <c r="O154" s="137"/>
      <c r="P154" s="137"/>
      <c r="Q154" s="136"/>
      <c r="R154" s="56"/>
    </row>
    <row r="155" spans="6:18" x14ac:dyDescent="0.25">
      <c r="G155" s="56"/>
      <c r="N155" s="56"/>
      <c r="O155" s="137"/>
      <c r="P155" s="137"/>
      <c r="Q155" s="136"/>
      <c r="R155" s="56"/>
    </row>
    <row r="156" spans="6:18" x14ac:dyDescent="0.25">
      <c r="G156" s="56"/>
      <c r="N156" s="56"/>
      <c r="O156" s="143"/>
      <c r="P156" s="143"/>
      <c r="Q156" s="143"/>
      <c r="R156" s="56"/>
    </row>
    <row r="157" spans="6:18" x14ac:dyDescent="0.25">
      <c r="G157" s="56"/>
      <c r="N157" s="56"/>
      <c r="O157" s="143"/>
      <c r="P157" s="143"/>
      <c r="Q157" s="143"/>
      <c r="R157" s="56"/>
    </row>
    <row r="158" spans="6:18" x14ac:dyDescent="0.25">
      <c r="G158" s="56"/>
      <c r="N158" s="56"/>
      <c r="O158" s="137"/>
      <c r="P158" s="137"/>
      <c r="Q158" s="136"/>
      <c r="R158" s="56"/>
    </row>
    <row r="159" spans="6:18" x14ac:dyDescent="0.25">
      <c r="F159" s="79"/>
      <c r="G159" s="56"/>
      <c r="N159" s="56"/>
      <c r="O159" s="138"/>
      <c r="P159" s="139"/>
      <c r="Q159" s="139"/>
      <c r="R159" s="56"/>
    </row>
    <row r="160" spans="6:18" x14ac:dyDescent="0.25">
      <c r="F160" s="79"/>
      <c r="G160" s="56"/>
      <c r="N160" s="56"/>
      <c r="O160" s="138"/>
      <c r="P160" s="139"/>
      <c r="Q160" s="139"/>
      <c r="R160" s="56"/>
    </row>
    <row r="161" spans="6:18" x14ac:dyDescent="0.25">
      <c r="G161" s="56"/>
      <c r="N161" s="56"/>
      <c r="O161" s="143"/>
      <c r="P161" s="143"/>
      <c r="Q161" s="143"/>
      <c r="R161" s="56"/>
    </row>
    <row r="162" spans="6:18" x14ac:dyDescent="0.25">
      <c r="G162" s="56"/>
      <c r="N162" s="56"/>
      <c r="O162" s="137"/>
      <c r="P162" s="137"/>
      <c r="Q162" s="136"/>
      <c r="R162" s="56"/>
    </row>
    <row r="163" spans="6:18" x14ac:dyDescent="0.25">
      <c r="F163" s="79"/>
      <c r="G163" s="56"/>
      <c r="N163" s="56"/>
      <c r="O163" s="138"/>
      <c r="P163" s="139"/>
      <c r="Q163" s="139"/>
      <c r="R163" s="56"/>
    </row>
    <row r="164" spans="6:18" x14ac:dyDescent="0.25">
      <c r="G164" s="56"/>
      <c r="N164" s="56"/>
      <c r="O164" s="143"/>
      <c r="P164" s="143"/>
      <c r="Q164" s="143"/>
      <c r="R164" s="56"/>
    </row>
    <row r="165" spans="6:18" x14ac:dyDescent="0.25">
      <c r="G165" s="56"/>
      <c r="N165" s="56"/>
      <c r="O165" s="137"/>
      <c r="P165" s="137"/>
      <c r="Q165" s="136"/>
      <c r="R165" s="56"/>
    </row>
    <row r="166" spans="6:18" x14ac:dyDescent="0.25">
      <c r="F166" s="79"/>
      <c r="G166" s="56"/>
      <c r="N166" s="56"/>
      <c r="O166" s="138"/>
      <c r="P166" s="139"/>
      <c r="Q166" s="139"/>
      <c r="R166" s="56"/>
    </row>
    <row r="167" spans="6:18" x14ac:dyDescent="0.25">
      <c r="G167" s="56"/>
      <c r="N167" s="56"/>
      <c r="O167" s="137"/>
      <c r="P167" s="137"/>
      <c r="Q167" s="136"/>
      <c r="R167" s="56"/>
    </row>
    <row r="168" spans="6:18" x14ac:dyDescent="0.25">
      <c r="F168" s="79"/>
      <c r="G168" s="56"/>
      <c r="N168" s="56"/>
      <c r="O168" s="138"/>
      <c r="P168" s="139"/>
      <c r="Q168" s="139"/>
      <c r="R168" s="56"/>
    </row>
    <row r="169" spans="6:18" x14ac:dyDescent="0.25">
      <c r="F169" s="79"/>
      <c r="G169" s="56"/>
      <c r="N169" s="56"/>
      <c r="O169" s="138"/>
      <c r="P169" s="139"/>
      <c r="Q169" s="139"/>
      <c r="R169" s="56"/>
    </row>
    <row r="170" spans="6:18" x14ac:dyDescent="0.25">
      <c r="F170" s="79"/>
      <c r="G170" s="56"/>
      <c r="N170" s="56"/>
      <c r="O170" s="138"/>
      <c r="P170" s="139"/>
      <c r="Q170" s="139"/>
      <c r="R170" s="56"/>
    </row>
    <row r="171" spans="6:18" x14ac:dyDescent="0.25">
      <c r="F171" s="79"/>
      <c r="G171" s="56"/>
      <c r="N171" s="56"/>
      <c r="O171" s="138"/>
      <c r="P171" s="139"/>
      <c r="Q171" s="139"/>
      <c r="R171" s="56"/>
    </row>
    <row r="172" spans="6:18" x14ac:dyDescent="0.25">
      <c r="F172" s="79"/>
      <c r="G172" s="56"/>
      <c r="N172" s="56"/>
      <c r="O172" s="138"/>
      <c r="P172" s="139"/>
      <c r="Q172" s="139"/>
      <c r="R172" s="56"/>
    </row>
    <row r="173" spans="6:18" x14ac:dyDescent="0.25">
      <c r="F173" s="79"/>
      <c r="G173" s="56"/>
      <c r="N173" s="56"/>
      <c r="O173" s="138"/>
      <c r="P173" s="139"/>
      <c r="Q173" s="139"/>
      <c r="R173" s="56"/>
    </row>
    <row r="174" spans="6:18" x14ac:dyDescent="0.25">
      <c r="G174" s="56"/>
      <c r="N174" s="56"/>
      <c r="O174" s="143"/>
      <c r="P174" s="143"/>
      <c r="Q174" s="143"/>
      <c r="R174" s="56"/>
    </row>
    <row r="175" spans="6:18" x14ac:dyDescent="0.25">
      <c r="F175" s="79"/>
      <c r="G175" s="56"/>
      <c r="N175" s="56"/>
      <c r="O175" s="138"/>
      <c r="P175" s="139"/>
      <c r="Q175" s="139"/>
      <c r="R175" s="56"/>
    </row>
    <row r="176" spans="6:18" x14ac:dyDescent="0.25">
      <c r="F176" s="79"/>
      <c r="G176" s="56"/>
      <c r="N176" s="56"/>
      <c r="O176" s="138"/>
      <c r="P176" s="139"/>
      <c r="Q176" s="139"/>
      <c r="R176" s="56"/>
    </row>
    <row r="177" spans="6:18" x14ac:dyDescent="0.25">
      <c r="G177" s="56"/>
      <c r="N177" s="56"/>
      <c r="O177" s="143"/>
      <c r="P177" s="143"/>
      <c r="Q177" s="143"/>
      <c r="R177" s="56"/>
    </row>
    <row r="178" spans="6:18" x14ac:dyDescent="0.25">
      <c r="F178" s="79"/>
      <c r="G178" s="56"/>
      <c r="N178" s="56"/>
      <c r="O178" s="138"/>
      <c r="P178" s="139"/>
      <c r="Q178" s="139"/>
      <c r="R178" s="56"/>
    </row>
    <row r="179" spans="6:18" x14ac:dyDescent="0.25">
      <c r="G179" s="56"/>
      <c r="N179" s="56"/>
      <c r="O179" s="157"/>
      <c r="P179" s="157"/>
      <c r="Q179" s="157"/>
      <c r="R179" s="56"/>
    </row>
    <row r="180" spans="6:18" x14ac:dyDescent="0.25">
      <c r="F180" s="79"/>
      <c r="G180" s="56"/>
      <c r="N180" s="56"/>
      <c r="O180" s="138"/>
      <c r="P180" s="139"/>
      <c r="Q180" s="139"/>
      <c r="R180" s="56"/>
    </row>
    <row r="181" spans="6:18" x14ac:dyDescent="0.25">
      <c r="G181" s="56"/>
      <c r="N181" s="56"/>
      <c r="O181" s="137"/>
      <c r="P181" s="156"/>
      <c r="Q181" s="136"/>
      <c r="R181" s="56"/>
    </row>
    <row r="182" spans="6:18" x14ac:dyDescent="0.25">
      <c r="F182" s="79"/>
      <c r="G182" s="56"/>
      <c r="N182" s="56"/>
      <c r="O182" s="138"/>
      <c r="P182" s="139"/>
      <c r="Q182" s="139"/>
      <c r="R182" s="56"/>
    </row>
    <row r="183" spans="6:18" x14ac:dyDescent="0.25">
      <c r="G183" s="56"/>
      <c r="N183" s="56"/>
      <c r="O183" s="137"/>
      <c r="P183" s="137"/>
      <c r="Q183" s="136"/>
      <c r="R183" s="56"/>
    </row>
    <row r="184" spans="6:18" x14ac:dyDescent="0.25">
      <c r="F184" s="79"/>
      <c r="G184" s="56"/>
      <c r="N184" s="56"/>
      <c r="O184" s="138"/>
      <c r="P184" s="139"/>
      <c r="Q184" s="139"/>
      <c r="R184" s="56"/>
    </row>
    <row r="185" spans="6:18" x14ac:dyDescent="0.25">
      <c r="F185" s="79"/>
      <c r="G185" s="56"/>
      <c r="N185" s="56"/>
      <c r="O185" s="138"/>
      <c r="P185" s="138"/>
      <c r="Q185" s="138"/>
      <c r="R185" s="56"/>
    </row>
    <row r="186" spans="6:18" x14ac:dyDescent="0.25">
      <c r="F186" s="79"/>
      <c r="G186" s="56"/>
      <c r="N186" s="56"/>
      <c r="O186" s="138"/>
      <c r="P186" s="139"/>
      <c r="Q186" s="139"/>
      <c r="R186" s="56"/>
    </row>
    <row r="187" spans="6:18" x14ac:dyDescent="0.25">
      <c r="F187" s="79"/>
      <c r="G187" s="56"/>
      <c r="N187" s="56"/>
      <c r="O187" s="138"/>
      <c r="P187" s="139"/>
      <c r="Q187" s="139"/>
      <c r="R187" s="56"/>
    </row>
    <row r="188" spans="6:18" x14ac:dyDescent="0.25">
      <c r="F188" s="79"/>
      <c r="G188" s="56"/>
      <c r="N188" s="56"/>
      <c r="O188" s="138"/>
      <c r="P188" s="139"/>
      <c r="Q188" s="139"/>
      <c r="R188" s="56"/>
    </row>
    <row r="189" spans="6:18" x14ac:dyDescent="0.25">
      <c r="F189" s="79"/>
      <c r="G189" s="56"/>
      <c r="N189" s="56"/>
      <c r="O189" s="138"/>
      <c r="P189" s="139"/>
      <c r="Q189" s="139"/>
      <c r="R189" s="56"/>
    </row>
    <row r="190" spans="6:18" x14ac:dyDescent="0.25">
      <c r="F190" s="79"/>
      <c r="G190" s="56"/>
      <c r="N190" s="56"/>
      <c r="O190" s="138"/>
      <c r="P190" s="139"/>
      <c r="Q190" s="139"/>
      <c r="R190" s="56"/>
    </row>
    <row r="191" spans="6:18" x14ac:dyDescent="0.25">
      <c r="G191" s="56"/>
      <c r="N191" s="56"/>
      <c r="O191" s="137"/>
      <c r="P191" s="137"/>
      <c r="Q191" s="137"/>
      <c r="R191" s="56"/>
    </row>
    <row r="192" spans="6:18" x14ac:dyDescent="0.25">
      <c r="G192" s="56"/>
      <c r="N192" s="56"/>
      <c r="O192" s="137"/>
      <c r="P192" s="137"/>
      <c r="Q192" s="136"/>
      <c r="R192" s="56"/>
    </row>
    <row r="193" spans="6:18" x14ac:dyDescent="0.25">
      <c r="G193" s="56"/>
      <c r="N193" s="56"/>
      <c r="O193" s="137"/>
      <c r="P193" s="137"/>
      <c r="Q193" s="136"/>
      <c r="R193" s="56"/>
    </row>
    <row r="194" spans="6:18" x14ac:dyDescent="0.25">
      <c r="F194" s="79"/>
      <c r="G194" s="56"/>
      <c r="N194" s="56"/>
      <c r="O194" s="138"/>
      <c r="P194" s="139"/>
      <c r="Q194" s="139"/>
      <c r="R194" s="56"/>
    </row>
    <row r="195" spans="6:18" x14ac:dyDescent="0.25">
      <c r="G195" s="56"/>
      <c r="N195" s="56"/>
      <c r="O195" s="136"/>
      <c r="P195" s="136"/>
      <c r="Q195" s="136"/>
      <c r="R195" s="56"/>
    </row>
    <row r="196" spans="6:18" x14ac:dyDescent="0.25">
      <c r="F196" s="79"/>
      <c r="G196" s="56"/>
      <c r="N196" s="56"/>
      <c r="O196" s="138"/>
      <c r="P196" s="139"/>
      <c r="Q196" s="139"/>
      <c r="R196" s="56"/>
    </row>
    <row r="197" spans="6:18" x14ac:dyDescent="0.25">
      <c r="F197" s="79"/>
      <c r="G197" s="56"/>
      <c r="N197" s="56"/>
      <c r="O197" s="138"/>
      <c r="P197" s="139"/>
      <c r="Q197" s="139"/>
      <c r="R197" s="56"/>
    </row>
    <row r="198" spans="6:18" x14ac:dyDescent="0.25">
      <c r="F198" s="79"/>
      <c r="G198" s="56"/>
      <c r="N198" s="56"/>
      <c r="O198" s="138"/>
      <c r="P198" s="139"/>
      <c r="Q198" s="139"/>
      <c r="R198" s="56"/>
    </row>
    <row r="199" spans="6:18" x14ac:dyDescent="0.25">
      <c r="G199" s="56"/>
      <c r="N199" s="56"/>
      <c r="O199" s="136"/>
      <c r="P199" s="136"/>
      <c r="Q199" s="136"/>
      <c r="R199" s="56"/>
    </row>
    <row r="200" spans="6:18" x14ac:dyDescent="0.25">
      <c r="G200" s="56"/>
      <c r="N200" s="56"/>
      <c r="O200" s="136"/>
      <c r="P200" s="137"/>
      <c r="Q200" s="136"/>
      <c r="R200" s="56"/>
    </row>
    <row r="201" spans="6:18" x14ac:dyDescent="0.25">
      <c r="F201" s="79"/>
      <c r="G201" s="56"/>
      <c r="N201" s="56"/>
      <c r="O201" s="138"/>
      <c r="P201" s="139"/>
      <c r="Q201" s="139"/>
      <c r="R201" s="56"/>
    </row>
    <row r="202" spans="6:18" x14ac:dyDescent="0.25">
      <c r="G202" s="56"/>
      <c r="N202" s="56"/>
      <c r="O202" s="136"/>
      <c r="P202" s="136"/>
      <c r="Q202" s="136"/>
      <c r="R202" s="56"/>
    </row>
    <row r="203" spans="6:18" x14ac:dyDescent="0.25">
      <c r="G203" s="56"/>
      <c r="N203" s="56"/>
      <c r="O203" s="143"/>
      <c r="P203" s="143"/>
      <c r="Q203" s="143"/>
      <c r="R203" s="56"/>
    </row>
    <row r="204" spans="6:18" x14ac:dyDescent="0.25">
      <c r="F204" s="79"/>
      <c r="G204" s="56"/>
      <c r="N204" s="56"/>
      <c r="O204" s="138"/>
      <c r="P204" s="139"/>
      <c r="Q204" s="139"/>
      <c r="R204" s="56"/>
    </row>
    <row r="205" spans="6:18" x14ac:dyDescent="0.25">
      <c r="F205" s="79"/>
      <c r="G205" s="56"/>
      <c r="N205" s="56"/>
      <c r="O205" s="138"/>
      <c r="P205" s="139"/>
      <c r="Q205" s="139"/>
      <c r="R205" s="56"/>
    </row>
    <row r="206" spans="6:18" x14ac:dyDescent="0.25">
      <c r="G206" s="56"/>
      <c r="N206" s="56"/>
      <c r="O206" s="136"/>
      <c r="P206" s="136"/>
      <c r="Q206" s="136"/>
      <c r="R206" s="56"/>
    </row>
    <row r="207" spans="6:18" x14ac:dyDescent="0.25">
      <c r="G207" s="56"/>
      <c r="N207" s="56"/>
      <c r="O207" s="136"/>
      <c r="P207" s="136"/>
      <c r="Q207" s="136"/>
      <c r="R207" s="56"/>
    </row>
    <row r="208" spans="6:18" x14ac:dyDescent="0.25">
      <c r="G208" s="56"/>
      <c r="N208" s="56"/>
      <c r="O208" s="143"/>
      <c r="P208" s="143"/>
      <c r="Q208" s="143"/>
      <c r="R208" s="56"/>
    </row>
    <row r="209" spans="6:18" x14ac:dyDescent="0.25">
      <c r="G209" s="56"/>
      <c r="N209" s="56"/>
      <c r="O209" s="137"/>
      <c r="P209" s="137"/>
      <c r="Q209" s="136"/>
      <c r="R209" s="56"/>
    </row>
    <row r="210" spans="6:18" x14ac:dyDescent="0.25">
      <c r="G210" s="56"/>
      <c r="N210" s="56"/>
      <c r="O210" s="137"/>
      <c r="P210" s="137"/>
      <c r="Q210" s="136"/>
      <c r="R210" s="56"/>
    </row>
    <row r="211" spans="6:18" x14ac:dyDescent="0.25">
      <c r="G211" s="56"/>
      <c r="N211" s="56"/>
      <c r="O211" s="137"/>
      <c r="P211" s="137"/>
      <c r="Q211" s="137"/>
      <c r="R211" s="56"/>
    </row>
    <row r="212" spans="6:18" x14ac:dyDescent="0.25">
      <c r="G212" s="56"/>
      <c r="N212" s="56"/>
      <c r="O212" s="137"/>
      <c r="P212" s="137"/>
      <c r="Q212" s="136"/>
      <c r="R212" s="56"/>
    </row>
    <row r="213" spans="6:18" x14ac:dyDescent="0.25">
      <c r="F213" s="79"/>
      <c r="G213" s="56"/>
      <c r="N213" s="56"/>
      <c r="O213" s="138"/>
      <c r="P213" s="139"/>
      <c r="Q213" s="139"/>
      <c r="R213" s="56"/>
    </row>
    <row r="214" spans="6:18" x14ac:dyDescent="0.25">
      <c r="F214" s="79"/>
      <c r="G214" s="56"/>
      <c r="N214" s="56"/>
      <c r="O214" s="138"/>
      <c r="P214" s="139"/>
      <c r="Q214" s="139"/>
      <c r="R214" s="56"/>
    </row>
    <row r="215" spans="6:18" x14ac:dyDescent="0.25">
      <c r="F215" s="79"/>
      <c r="G215" s="56"/>
      <c r="N215" s="56"/>
      <c r="O215" s="138"/>
      <c r="P215" s="139"/>
      <c r="Q215" s="139"/>
      <c r="R215" s="56"/>
    </row>
    <row r="216" spans="6:18" x14ac:dyDescent="0.25">
      <c r="F216" s="79"/>
      <c r="G216" s="56"/>
      <c r="N216" s="56"/>
      <c r="O216" s="138"/>
      <c r="P216" s="139"/>
      <c r="Q216" s="139"/>
      <c r="R216" s="56"/>
    </row>
    <row r="217" spans="6:18" x14ac:dyDescent="0.25">
      <c r="F217" s="79"/>
      <c r="G217" s="56"/>
      <c r="N217" s="56"/>
      <c r="O217" s="138"/>
      <c r="P217" s="139"/>
      <c r="Q217" s="139"/>
      <c r="R217" s="56"/>
    </row>
    <row r="218" spans="6:18" x14ac:dyDescent="0.25">
      <c r="G218" s="56"/>
      <c r="N218" s="56"/>
      <c r="O218" s="137"/>
      <c r="P218" s="137"/>
      <c r="Q218" s="136"/>
      <c r="R218" s="56"/>
    </row>
    <row r="219" spans="6:18" x14ac:dyDescent="0.25">
      <c r="G219" s="56"/>
      <c r="N219" s="56"/>
      <c r="O219" s="137"/>
      <c r="P219" s="137"/>
      <c r="Q219" s="136"/>
      <c r="R219" s="56"/>
    </row>
    <row r="220" spans="6:18" x14ac:dyDescent="0.25">
      <c r="F220" s="79"/>
      <c r="G220" s="56"/>
      <c r="N220" s="56"/>
      <c r="O220" s="138"/>
      <c r="P220" s="139"/>
      <c r="Q220" s="139"/>
      <c r="R220" s="56"/>
    </row>
    <row r="221" spans="6:18" x14ac:dyDescent="0.25">
      <c r="G221" s="56"/>
      <c r="N221" s="56"/>
      <c r="O221" s="149"/>
      <c r="P221" s="149"/>
      <c r="Q221" s="148"/>
      <c r="R221" s="56"/>
    </row>
    <row r="222" spans="6:18" x14ac:dyDescent="0.25">
      <c r="F222" s="79"/>
      <c r="G222" s="56"/>
      <c r="N222" s="56"/>
      <c r="O222" s="158"/>
      <c r="P222" s="159"/>
      <c r="Q222" s="159"/>
      <c r="R222" s="56"/>
    </row>
    <row r="223" spans="6:18" x14ac:dyDescent="0.25">
      <c r="F223" s="79"/>
      <c r="G223" s="56"/>
      <c r="N223" s="56"/>
      <c r="O223" s="158"/>
      <c r="P223" s="159"/>
      <c r="Q223" s="159"/>
      <c r="R223" s="56"/>
    </row>
    <row r="224" spans="6:18" x14ac:dyDescent="0.25">
      <c r="G224" s="56"/>
      <c r="N224" s="56"/>
      <c r="O224" s="149"/>
      <c r="P224" s="149"/>
      <c r="Q224" s="148"/>
      <c r="R224" s="56"/>
    </row>
    <row r="225" spans="6:18" x14ac:dyDescent="0.25">
      <c r="G225" s="56"/>
      <c r="N225" s="56"/>
      <c r="O225" s="160"/>
      <c r="P225" s="160"/>
      <c r="Q225" s="160"/>
      <c r="R225" s="56"/>
    </row>
    <row r="226" spans="6:18" x14ac:dyDescent="0.25">
      <c r="G226" s="56"/>
      <c r="N226" s="56"/>
      <c r="O226" s="160"/>
      <c r="P226" s="160"/>
      <c r="Q226" s="160"/>
      <c r="R226" s="56"/>
    </row>
    <row r="227" spans="6:18" x14ac:dyDescent="0.25">
      <c r="G227" s="56"/>
      <c r="N227" s="56"/>
      <c r="O227" s="160"/>
      <c r="P227" s="160"/>
      <c r="Q227" s="160"/>
      <c r="R227" s="56"/>
    </row>
    <row r="228" spans="6:18" x14ac:dyDescent="0.25">
      <c r="G228" s="56"/>
      <c r="N228" s="56"/>
      <c r="O228" s="160"/>
      <c r="P228" s="160"/>
      <c r="Q228" s="160"/>
      <c r="R228" s="56"/>
    </row>
    <row r="229" spans="6:18" x14ac:dyDescent="0.25">
      <c r="G229" s="56"/>
      <c r="N229" s="56"/>
      <c r="O229" s="160"/>
      <c r="P229" s="160"/>
      <c r="Q229" s="160"/>
      <c r="R229" s="56"/>
    </row>
    <row r="230" spans="6:18" x14ac:dyDescent="0.25">
      <c r="F230" s="79"/>
      <c r="G230" s="56"/>
      <c r="N230" s="56"/>
      <c r="O230" s="158"/>
      <c r="P230" s="159"/>
      <c r="Q230" s="159"/>
      <c r="R230" s="56"/>
    </row>
    <row r="231" spans="6:18" x14ac:dyDescent="0.25">
      <c r="F231" s="79"/>
      <c r="G231" s="56"/>
      <c r="N231" s="56"/>
      <c r="O231" s="158"/>
      <c r="P231" s="159"/>
      <c r="Q231" s="159"/>
      <c r="R231" s="56"/>
    </row>
    <row r="232" spans="6:18" x14ac:dyDescent="0.25">
      <c r="G232" s="56"/>
      <c r="N232" s="56"/>
      <c r="O232" s="160"/>
      <c r="P232" s="160"/>
      <c r="Q232" s="160"/>
      <c r="R232" s="56"/>
    </row>
    <row r="233" spans="6:18" x14ac:dyDescent="0.25">
      <c r="G233" s="56"/>
      <c r="N233" s="56"/>
      <c r="O233" s="160"/>
      <c r="P233" s="160"/>
      <c r="Q233" s="160"/>
      <c r="R233" s="56"/>
    </row>
    <row r="234" spans="6:18" x14ac:dyDescent="0.25">
      <c r="F234" s="79"/>
      <c r="G234" s="56"/>
      <c r="N234" s="56"/>
      <c r="O234" s="158"/>
      <c r="P234" s="159"/>
      <c r="Q234" s="159"/>
      <c r="R234" s="56"/>
    </row>
    <row r="235" spans="6:18" x14ac:dyDescent="0.25">
      <c r="F235" s="79"/>
      <c r="G235" s="56"/>
      <c r="N235" s="56"/>
      <c r="O235" s="158"/>
      <c r="P235" s="159"/>
      <c r="Q235" s="159"/>
      <c r="R235" s="56"/>
    </row>
    <row r="236" spans="6:18" x14ac:dyDescent="0.25">
      <c r="G236" s="56"/>
      <c r="N236" s="56"/>
      <c r="O236" s="160"/>
      <c r="P236" s="160"/>
      <c r="Q236" s="160"/>
      <c r="R236" s="56"/>
    </row>
    <row r="237" spans="6:18" x14ac:dyDescent="0.25">
      <c r="G237" s="56"/>
      <c r="N237" s="56"/>
      <c r="O237" s="148"/>
      <c r="P237" s="149"/>
      <c r="Q237" s="148"/>
      <c r="R237" s="56"/>
    </row>
    <row r="238" spans="6:18" x14ac:dyDescent="0.25">
      <c r="G238" s="56"/>
      <c r="N238" s="56"/>
      <c r="O238" s="160"/>
      <c r="P238" s="160"/>
      <c r="Q238" s="160"/>
      <c r="R238" s="56"/>
    </row>
    <row r="239" spans="6:18" x14ac:dyDescent="0.25">
      <c r="G239" s="56"/>
      <c r="N239" s="56"/>
      <c r="O239" s="148"/>
      <c r="P239" s="149"/>
      <c r="Q239" s="148"/>
      <c r="R239" s="56"/>
    </row>
    <row r="240" spans="6:18" x14ac:dyDescent="0.25">
      <c r="G240" s="56"/>
      <c r="N240" s="56"/>
      <c r="O240" s="148"/>
      <c r="P240" s="161"/>
      <c r="Q240" s="148"/>
      <c r="R240" s="56"/>
    </row>
    <row r="241" spans="6:18" x14ac:dyDescent="0.25">
      <c r="G241" s="56"/>
      <c r="N241" s="56"/>
      <c r="O241" s="148"/>
      <c r="P241" s="149"/>
      <c r="Q241" s="148"/>
      <c r="R241" s="56"/>
    </row>
    <row r="242" spans="6:18" x14ac:dyDescent="0.25">
      <c r="G242" s="56"/>
      <c r="N242" s="56"/>
      <c r="O242" s="148"/>
      <c r="P242" s="149"/>
      <c r="Q242" s="148"/>
      <c r="R242" s="56"/>
    </row>
    <row r="243" spans="6:18" x14ac:dyDescent="0.25">
      <c r="F243" s="79"/>
      <c r="G243" s="56"/>
      <c r="N243" s="56"/>
      <c r="O243" s="158"/>
      <c r="P243" s="159"/>
      <c r="Q243" s="159"/>
      <c r="R243" s="56"/>
    </row>
    <row r="244" spans="6:18" x14ac:dyDescent="0.25">
      <c r="G244" s="56"/>
      <c r="N244" s="56"/>
      <c r="O244" s="148"/>
      <c r="P244" s="161"/>
      <c r="Q244" s="148"/>
      <c r="R244" s="56"/>
    </row>
    <row r="245" spans="6:18" x14ac:dyDescent="0.25">
      <c r="F245" s="79"/>
      <c r="G245" s="56"/>
      <c r="N245" s="56"/>
      <c r="O245" s="158"/>
      <c r="P245" s="162"/>
      <c r="Q245" s="159"/>
      <c r="R245" s="56"/>
    </row>
    <row r="246" spans="6:18" x14ac:dyDescent="0.25">
      <c r="G246" s="56"/>
      <c r="N246" s="56"/>
      <c r="O246" s="148"/>
      <c r="P246" s="149"/>
      <c r="Q246" s="148"/>
      <c r="R246" s="56"/>
    </row>
    <row r="247" spans="6:18" x14ac:dyDescent="0.25">
      <c r="G247" s="56"/>
      <c r="N247" s="56"/>
      <c r="O247" s="148"/>
      <c r="P247" s="149"/>
      <c r="Q247" s="148"/>
      <c r="R247" s="56"/>
    </row>
    <row r="248" spans="6:18" x14ac:dyDescent="0.25">
      <c r="F248" s="79"/>
      <c r="G248" s="56"/>
      <c r="N248" s="56"/>
      <c r="O248" s="158"/>
      <c r="P248" s="159"/>
      <c r="Q248" s="159"/>
      <c r="R248" s="56"/>
    </row>
    <row r="249" spans="6:18" x14ac:dyDescent="0.25">
      <c r="F249" s="79"/>
      <c r="G249" s="56"/>
      <c r="N249" s="56"/>
      <c r="O249" s="158"/>
      <c r="P249" s="159"/>
      <c r="Q249" s="159"/>
      <c r="R249" s="56"/>
    </row>
    <row r="250" spans="6:18" x14ac:dyDescent="0.25">
      <c r="F250" s="79"/>
      <c r="G250" s="56"/>
      <c r="N250" s="56"/>
      <c r="O250" s="158"/>
      <c r="P250" s="159"/>
      <c r="Q250" s="159"/>
      <c r="R250" s="56"/>
    </row>
    <row r="251" spans="6:18" x14ac:dyDescent="0.25">
      <c r="G251" s="56"/>
      <c r="N251" s="56"/>
      <c r="O251" s="148"/>
      <c r="P251" s="148"/>
      <c r="Q251" s="148"/>
      <c r="R251" s="56"/>
    </row>
    <row r="252" spans="6:18" x14ac:dyDescent="0.25">
      <c r="G252" s="56"/>
      <c r="N252" s="56"/>
      <c r="O252" s="149"/>
      <c r="P252" s="148"/>
      <c r="Q252" s="148"/>
      <c r="R252" s="56"/>
    </row>
    <row r="253" spans="6:18" x14ac:dyDescent="0.25">
      <c r="F253" s="79"/>
      <c r="G253" s="56"/>
      <c r="N253" s="56"/>
      <c r="O253" s="158"/>
      <c r="P253" s="159"/>
      <c r="Q253" s="159"/>
      <c r="R253" s="56"/>
    </row>
    <row r="254" spans="6:18" x14ac:dyDescent="0.25">
      <c r="G254" s="56"/>
      <c r="N254" s="56"/>
      <c r="O254" s="148"/>
      <c r="P254" s="149"/>
      <c r="Q254" s="148"/>
      <c r="R254" s="56"/>
    </row>
    <row r="255" spans="6:18" x14ac:dyDescent="0.25">
      <c r="G255" s="56"/>
      <c r="N255" s="56"/>
      <c r="O255" s="148"/>
      <c r="P255" s="148"/>
      <c r="Q255" s="148"/>
      <c r="R255" s="56"/>
    </row>
    <row r="256" spans="6:18" x14ac:dyDescent="0.25">
      <c r="G256" s="56"/>
      <c r="N256" s="56"/>
      <c r="O256" s="160"/>
      <c r="P256" s="160"/>
      <c r="Q256" s="160"/>
      <c r="R256" s="56"/>
    </row>
    <row r="257" spans="6:18" x14ac:dyDescent="0.25">
      <c r="G257" s="56"/>
      <c r="N257" s="56"/>
      <c r="O257" s="148"/>
      <c r="P257" s="149"/>
      <c r="Q257" s="148"/>
      <c r="R257" s="56"/>
    </row>
    <row r="258" spans="6:18" x14ac:dyDescent="0.25">
      <c r="G258" s="56"/>
      <c r="N258" s="56"/>
      <c r="O258" s="149"/>
      <c r="P258" s="161"/>
      <c r="Q258" s="149"/>
      <c r="R258" s="56"/>
    </row>
    <row r="259" spans="6:18" x14ac:dyDescent="0.25">
      <c r="G259" s="56"/>
      <c r="N259" s="56"/>
      <c r="O259" s="148"/>
      <c r="P259" s="148"/>
      <c r="Q259" s="148"/>
      <c r="R259" s="56"/>
    </row>
    <row r="260" spans="6:18" x14ac:dyDescent="0.25">
      <c r="F260" s="79"/>
      <c r="G260" s="56"/>
      <c r="N260" s="56"/>
      <c r="O260" s="158"/>
      <c r="P260" s="159"/>
      <c r="Q260" s="159"/>
      <c r="R260" s="56"/>
    </row>
    <row r="261" spans="6:18" x14ac:dyDescent="0.25">
      <c r="G261" s="56"/>
      <c r="N261" s="56"/>
      <c r="O261" s="160"/>
      <c r="P261" s="160"/>
      <c r="Q261" s="160"/>
      <c r="R261" s="56"/>
    </row>
    <row r="262" spans="6:18" x14ac:dyDescent="0.25">
      <c r="G262" s="147"/>
      <c r="N262" s="56"/>
      <c r="O262" s="163"/>
      <c r="P262" s="164"/>
      <c r="Q262" s="164"/>
      <c r="R262" s="56"/>
    </row>
    <row r="263" spans="6:18" x14ac:dyDescent="0.25">
      <c r="G263" s="91"/>
      <c r="N263" s="56"/>
      <c r="O263" s="165"/>
      <c r="P263" s="165"/>
      <c r="Q263" s="166"/>
      <c r="R263" s="56"/>
    </row>
    <row r="264" spans="6:18" x14ac:dyDescent="0.25">
      <c r="G264" s="80"/>
      <c r="N264" s="56"/>
      <c r="O264" s="166"/>
      <c r="P264" s="166"/>
      <c r="Q264" s="166"/>
      <c r="R264" s="56"/>
    </row>
    <row r="265" spans="6:18" x14ac:dyDescent="0.25">
      <c r="G265" s="80"/>
      <c r="N265" s="56"/>
      <c r="O265" s="166"/>
      <c r="P265" s="166"/>
      <c r="Q265" s="166"/>
      <c r="R265" s="56"/>
    </row>
    <row r="266" spans="6:18" x14ac:dyDescent="0.25">
      <c r="G266" s="80"/>
      <c r="N266" s="56"/>
      <c r="O266" s="165"/>
      <c r="P266" s="165"/>
      <c r="Q266" s="166"/>
      <c r="R266" s="56"/>
    </row>
    <row r="267" spans="6:18" x14ac:dyDescent="0.25">
      <c r="G267" s="80"/>
      <c r="N267" s="56"/>
      <c r="O267" s="164"/>
      <c r="P267" s="164"/>
      <c r="Q267" s="166"/>
      <c r="R267" s="56"/>
    </row>
    <row r="268" spans="6:18" x14ac:dyDescent="0.25">
      <c r="G268" s="37"/>
      <c r="N268" s="56"/>
      <c r="O268" s="165"/>
      <c r="P268" s="165"/>
      <c r="Q268" s="166"/>
      <c r="R268" s="56"/>
    </row>
    <row r="269" spans="6:18" x14ac:dyDescent="0.25">
      <c r="G269" s="37"/>
      <c r="N269" s="56"/>
      <c r="O269" s="165"/>
      <c r="P269" s="165"/>
      <c r="Q269" s="166"/>
      <c r="R269" s="56"/>
    </row>
    <row r="270" spans="6:18" x14ac:dyDescent="0.25">
      <c r="G270" s="80"/>
      <c r="N270" s="56"/>
      <c r="O270" s="165"/>
      <c r="P270" s="165"/>
      <c r="Q270" s="166"/>
      <c r="R270" s="56"/>
    </row>
    <row r="271" spans="6:18" x14ac:dyDescent="0.25">
      <c r="G271" s="91"/>
      <c r="N271" s="56"/>
      <c r="O271" s="164"/>
      <c r="P271" s="164"/>
      <c r="Q271" s="166"/>
      <c r="R271" s="56"/>
    </row>
    <row r="272" spans="6:18" x14ac:dyDescent="0.25">
      <c r="G272" s="80"/>
      <c r="N272" s="56"/>
      <c r="O272" s="165"/>
      <c r="P272" s="165"/>
      <c r="Q272" s="166"/>
      <c r="R272" s="56"/>
    </row>
    <row r="273" spans="7:18" x14ac:dyDescent="0.25">
      <c r="G273" s="37"/>
      <c r="N273" s="56"/>
      <c r="O273" s="165"/>
      <c r="P273" s="165"/>
      <c r="Q273" s="166"/>
      <c r="R273" s="56"/>
    </row>
    <row r="274" spans="7:18" x14ac:dyDescent="0.25">
      <c r="G274" s="80"/>
      <c r="N274" s="56"/>
      <c r="R274" s="56"/>
    </row>
    <row r="275" spans="7:18" x14ac:dyDescent="0.25">
      <c r="G275" s="80"/>
      <c r="N275" s="56"/>
      <c r="R275" s="56"/>
    </row>
    <row r="276" spans="7:18" x14ac:dyDescent="0.25">
      <c r="G276" s="38"/>
      <c r="N276" s="56"/>
      <c r="R276" s="56"/>
    </row>
    <row r="277" spans="7:18" x14ac:dyDescent="0.25">
      <c r="G277" s="91"/>
      <c r="N277" s="56"/>
      <c r="R277" s="56"/>
    </row>
    <row r="278" spans="7:18" x14ac:dyDescent="0.25">
      <c r="G278" s="80"/>
      <c r="N278" s="56"/>
      <c r="R278" s="56"/>
    </row>
    <row r="280" spans="7:18" x14ac:dyDescent="0.25">
      <c r="G280" s="56"/>
      <c r="N280" s="56"/>
      <c r="R280" s="56"/>
    </row>
    <row r="281" spans="7:18" x14ac:dyDescent="0.25">
      <c r="G281" s="56"/>
      <c r="N281" s="56"/>
      <c r="R281" s="56"/>
    </row>
    <row r="282" spans="7:18" x14ac:dyDescent="0.25">
      <c r="G282" s="56"/>
      <c r="N282" s="56"/>
      <c r="R282" s="56"/>
    </row>
    <row r="283" spans="7:18" x14ac:dyDescent="0.25">
      <c r="G283" s="56"/>
      <c r="N283" s="56"/>
      <c r="R283" s="56"/>
    </row>
    <row r="284" spans="7:18" x14ac:dyDescent="0.25">
      <c r="G284" s="56"/>
      <c r="N284" s="56"/>
      <c r="R284" s="56"/>
    </row>
    <row r="285" spans="7:18" x14ac:dyDescent="0.25">
      <c r="G285" s="56"/>
      <c r="N285" s="56"/>
      <c r="R285" s="56"/>
    </row>
    <row r="286" spans="7:18" x14ac:dyDescent="0.25">
      <c r="G286" s="56"/>
      <c r="N286" s="56"/>
      <c r="R286" s="56"/>
    </row>
    <row r="287" spans="7:18" x14ac:dyDescent="0.25">
      <c r="G287" s="56"/>
      <c r="N287" s="56"/>
      <c r="R287" s="56"/>
    </row>
    <row r="288" spans="7:18" x14ac:dyDescent="0.25">
      <c r="G288" s="56"/>
      <c r="N288" s="56"/>
      <c r="R288" s="56"/>
    </row>
    <row r="289" spans="1:18" x14ac:dyDescent="0.25">
      <c r="A289" s="56"/>
      <c r="F289" s="56"/>
      <c r="G289" s="56"/>
      <c r="H289" s="56"/>
      <c r="I289" s="56"/>
      <c r="J289" s="56"/>
      <c r="K289" s="56"/>
      <c r="L289" s="56"/>
      <c r="M289" s="56"/>
      <c r="N289" s="56"/>
      <c r="O289" s="56"/>
      <c r="P289" s="56"/>
      <c r="Q289" s="56"/>
      <c r="R289" s="56"/>
    </row>
  </sheetData>
  <conditionalFormatting sqref="G264:G265">
    <cfRule type="duplicateValues" dxfId="33" priority="9"/>
  </conditionalFormatting>
  <conditionalFormatting sqref="G272">
    <cfRule type="duplicateValues" dxfId="32" priority="10"/>
  </conditionalFormatting>
  <conditionalFormatting sqref="G266">
    <cfRule type="duplicateValues" dxfId="31" priority="11"/>
  </conditionalFormatting>
  <conditionalFormatting sqref="G267">
    <cfRule type="duplicateValues" dxfId="30" priority="12"/>
  </conditionalFormatting>
  <conditionalFormatting sqref="G271">
    <cfRule type="duplicateValues" dxfId="29" priority="13"/>
  </conditionalFormatting>
  <conditionalFormatting sqref="G269:G270">
    <cfRule type="duplicateValues" dxfId="28" priority="14"/>
  </conditionalFormatting>
  <conditionalFormatting sqref="G276:G278">
    <cfRule type="duplicateValues" dxfId="27" priority="15"/>
  </conditionalFormatting>
  <conditionalFormatting sqref="H2">
    <cfRule type="duplicateValues" dxfId="26" priority="6"/>
  </conditionalFormatting>
  <conditionalFormatting sqref="H2">
    <cfRule type="duplicateValues" dxfId="25" priority="7"/>
  </conditionalFormatting>
  <conditionalFormatting sqref="H2">
    <cfRule type="duplicateValues" dxfId="24" priority="8"/>
  </conditionalFormatting>
  <conditionalFormatting sqref="H1">
    <cfRule type="duplicateValues" dxfId="23" priority="16"/>
  </conditionalFormatting>
  <conditionalFormatting sqref="G263:G278">
    <cfRule type="duplicateValues" dxfId="22" priority="17"/>
  </conditionalFormatting>
  <conditionalFormatting sqref="G262 H3">
    <cfRule type="duplicateValues" dxfId="21" priority="18"/>
  </conditionalFormatting>
  <conditionalFormatting sqref="H11">
    <cfRule type="duplicateValues" dxfId="20" priority="4"/>
  </conditionalFormatting>
  <conditionalFormatting sqref="H12:H19">
    <cfRule type="duplicateValues" dxfId="19" priority="5"/>
  </conditionalFormatting>
  <conditionalFormatting sqref="H48">
    <cfRule type="duplicateValues" dxfId="18" priority="3"/>
  </conditionalFormatting>
  <conditionalFormatting sqref="H49">
    <cfRule type="duplicateValues" dxfId="17" priority="2"/>
  </conditionalFormatting>
  <conditionalFormatting sqref="H59">
    <cfRule type="duplicateValues" dxfId="16" priority="1"/>
  </conditionalFormatting>
  <conditionalFormatting sqref="H4:H10">
    <cfRule type="duplicateValues" dxfId="15" priority="19"/>
  </conditionalFormatting>
  <conditionalFormatting sqref="H4:H45">
    <cfRule type="duplicateValues" dxfId="14" priority="20"/>
  </conditionalFormatting>
  <conditionalFormatting sqref="H46">
    <cfRule type="duplicateValues" dxfId="13" priority="21"/>
  </conditionalFormatting>
  <conditionalFormatting sqref="H35:H45">
    <cfRule type="duplicateValues" dxfId="12" priority="22"/>
  </conditionalFormatting>
  <conditionalFormatting sqref="H4:H46">
    <cfRule type="duplicateValues" dxfId="11" priority="23"/>
  </conditionalFormatting>
  <conditionalFormatting sqref="H53">
    <cfRule type="duplicateValues" dxfId="10" priority="24"/>
  </conditionalFormatting>
  <conditionalFormatting sqref="H54">
    <cfRule type="duplicateValues" dxfId="9" priority="25"/>
  </conditionalFormatting>
  <conditionalFormatting sqref="H56">
    <cfRule type="duplicateValues" dxfId="8" priority="26"/>
  </conditionalFormatting>
  <conditionalFormatting sqref="H61:H62">
    <cfRule type="duplicateValues" dxfId="7" priority="27"/>
  </conditionalFormatting>
  <conditionalFormatting sqref="H63:H64">
    <cfRule type="duplicateValues" dxfId="6" priority="28"/>
  </conditionalFormatting>
  <conditionalFormatting sqref="H65:H75">
    <cfRule type="duplicateValues" dxfId="5" priority="29"/>
  </conditionalFormatting>
  <conditionalFormatting sqref="H48:H50 H52:H75">
    <cfRule type="duplicateValues" dxfId="4" priority="30"/>
  </conditionalFormatting>
  <conditionalFormatting sqref="H82:H83">
    <cfRule type="duplicateValues" dxfId="3" priority="31"/>
  </conditionalFormatting>
  <conditionalFormatting sqref="H84:H85">
    <cfRule type="duplicateValues" dxfId="2" priority="32"/>
  </conditionalFormatting>
  <conditionalFormatting sqref="H92:H94 H86:H90">
    <cfRule type="duplicateValues" dxfId="1" priority="33"/>
  </conditionalFormatting>
  <conditionalFormatting sqref="H92:H94 H76:H90">
    <cfRule type="duplicateValues" dxfId="0" priority="3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Metadata</vt:lpstr>
      <vt:lpstr>Read me</vt:lpstr>
      <vt:lpstr>Appendix A - Black list</vt:lpstr>
      <vt:lpstr>Appendix B - Alert 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2021-04-19T17:33:09Z</dcterms:created>
  <dcterms:modified xsi:type="dcterms:W3CDTF">2022-07-19T08:52:13Z</dcterms:modified>
</cp:coreProperties>
</file>